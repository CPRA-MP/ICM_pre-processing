
<file path=[Content_Types].xml><?xml version="1.0" encoding="utf-8"?>
<Types xmlns="http://schemas.openxmlformats.org/package/2006/content-type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drawings/drawing1.xml" ContentType="application/vnd.openxmlformats-officedocument.drawing+xml"/>
  <Override PartName="/xl/comments2.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Eric\git\ICM_pre-processing\precip_uplandQ\"/>
    </mc:Choice>
  </mc:AlternateContent>
  <xr:revisionPtr revIDLastSave="0" documentId="13_ncr:1_{121FA20B-4469-454F-9B17-EFC68D96D6B8}" xr6:coauthVersionLast="47" xr6:coauthVersionMax="47" xr10:uidLastSave="{00000000-0000-0000-0000-000000000000}"/>
  <bookViews>
    <workbookView xWindow="-810" yWindow="2370" windowWidth="21600" windowHeight="11295" activeTab="1" xr2:uid="{E230D9FD-183E-4829-8922-42FE46B3366E}"/>
  </bookViews>
  <sheets>
    <sheet name="Wet-Dry Months" sheetId="4" r:id="rId1"/>
    <sheet name="Final Grids" sheetId="5" r:id="rId2"/>
  </sheets>
  <definedNames>
    <definedName name="_xlnm._FilterDatabase" localSheetId="0" hidden="1">'Wet-Dry Months'!$A$3:$I$219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G4" i="4" l="1"/>
  <c r="C4" i="5" s="1"/>
  <c r="AG5" i="4"/>
  <c r="AK4" i="4"/>
  <c r="AA4" i="4"/>
  <c r="X4" i="4"/>
  <c r="U4" i="4"/>
  <c r="V4" i="4" s="1"/>
  <c r="AP1" i="4"/>
  <c r="N20" i="4"/>
  <c r="N5" i="4"/>
  <c r="N6" i="4" s="1"/>
  <c r="N7" i="4" s="1"/>
  <c r="N8" i="4" s="1"/>
  <c r="N9" i="4" s="1"/>
  <c r="N10" i="4" s="1"/>
  <c r="N11" i="4" s="1"/>
  <c r="N12" i="4" s="1"/>
  <c r="N13" i="4" s="1"/>
  <c r="N14" i="4" s="1"/>
  <c r="N15" i="4" s="1"/>
  <c r="U17" i="4"/>
  <c r="V17" i="4" s="1"/>
  <c r="W17" i="4" s="1"/>
  <c r="X17" i="4" s="1"/>
  <c r="Y17" i="4" s="1"/>
  <c r="Z17" i="4" s="1"/>
  <c r="AA17" i="4" s="1"/>
  <c r="AB17" i="4" s="1"/>
  <c r="AC17" i="4" s="1"/>
  <c r="AD17" i="4" s="1"/>
  <c r="AE17" i="4" s="1"/>
  <c r="AF17" i="4" s="1"/>
  <c r="AG17" i="4" s="1"/>
  <c r="AH17" i="4" s="1"/>
  <c r="AI17" i="4" s="1"/>
  <c r="AJ17" i="4" s="1"/>
  <c r="AK17" i="4" s="1"/>
  <c r="AL17" i="4" s="1"/>
  <c r="AM17" i="4" s="1"/>
  <c r="AN17" i="4" s="1"/>
  <c r="AO17" i="4" s="1"/>
  <c r="AP17" i="4" s="1"/>
  <c r="AQ17" i="4" s="1"/>
  <c r="AR17" i="4" s="1"/>
  <c r="AS17" i="4" s="1"/>
  <c r="T5" i="4"/>
  <c r="AB21" i="4" s="1"/>
  <c r="Q35" i="4"/>
  <c r="P35" i="4"/>
  <c r="O35" i="4"/>
  <c r="AH4" i="4" l="1"/>
  <c r="D4" i="5" s="1"/>
  <c r="C5" i="5"/>
  <c r="N21" i="4"/>
  <c r="Y4" i="4"/>
  <c r="AA5" i="4"/>
  <c r="U5" i="4"/>
  <c r="V5" i="4" s="1"/>
  <c r="X5" i="4"/>
  <c r="Y5" i="4" s="1"/>
  <c r="AK5" i="4"/>
  <c r="T6" i="4"/>
  <c r="AB22" i="4" l="1"/>
  <c r="AG6" i="4"/>
  <c r="C6" i="5" s="1"/>
  <c r="AH5" i="4"/>
  <c r="N22" i="4"/>
  <c r="AA6" i="4"/>
  <c r="U6" i="4"/>
  <c r="V6" i="4" s="1"/>
  <c r="AK6" i="4"/>
  <c r="X6" i="4"/>
  <c r="Y6" i="4" s="1"/>
  <c r="T7" i="4"/>
  <c r="AB23" i="4" l="1"/>
  <c r="AG7" i="4"/>
  <c r="C7" i="5" s="1"/>
  <c r="AH6" i="4"/>
  <c r="D5" i="5"/>
  <c r="D6" i="5"/>
  <c r="N23" i="4"/>
  <c r="AA7" i="4"/>
  <c r="U7" i="4"/>
  <c r="V7" i="4" s="1"/>
  <c r="AK7" i="4"/>
  <c r="X7" i="4"/>
  <c r="Y7" i="4" s="1"/>
  <c r="T8" i="4"/>
  <c r="AB24" i="4" l="1"/>
  <c r="AG8" i="4"/>
  <c r="C8" i="5" s="1"/>
  <c r="AH7" i="4"/>
  <c r="D7" i="5"/>
  <c r="N24" i="4"/>
  <c r="AA8" i="4"/>
  <c r="AK8" i="4"/>
  <c r="X8" i="4"/>
  <c r="Y8" i="4" s="1"/>
  <c r="U8" i="4"/>
  <c r="V8" i="4" s="1"/>
  <c r="T9" i="4"/>
  <c r="AG9" i="4" s="1"/>
  <c r="C9" i="5" s="1"/>
  <c r="AH8" i="4" l="1"/>
  <c r="AH9" i="4"/>
  <c r="D8" i="5"/>
  <c r="AB25" i="4"/>
  <c r="N25" i="4"/>
  <c r="AA9" i="4"/>
  <c r="AK9" i="4"/>
  <c r="X9" i="4"/>
  <c r="Y9" i="4" s="1"/>
  <c r="U9" i="4"/>
  <c r="V9" i="4" s="1"/>
  <c r="T10" i="4"/>
  <c r="AG10" i="4" s="1"/>
  <c r="C10" i="5" s="1"/>
  <c r="AH10" i="4" l="1"/>
  <c r="D9" i="5"/>
  <c r="AB26" i="4"/>
  <c r="N26" i="4"/>
  <c r="AA10" i="4"/>
  <c r="U10" i="4"/>
  <c r="V10" i="4" s="1"/>
  <c r="X10" i="4"/>
  <c r="Y10" i="4" s="1"/>
  <c r="AK10" i="4"/>
  <c r="T11" i="4"/>
  <c r="AG11" i="4" s="1"/>
  <c r="C11" i="5" s="1"/>
  <c r="AH11" i="4" l="1"/>
  <c r="D10" i="5"/>
  <c r="AB27" i="4"/>
  <c r="N27" i="4"/>
  <c r="AA11" i="4"/>
  <c r="AK11" i="4"/>
  <c r="X11" i="4"/>
  <c r="Y11" i="4" s="1"/>
  <c r="U11" i="4"/>
  <c r="V11" i="4" s="1"/>
  <c r="T12" i="4"/>
  <c r="AG12" i="4" s="1"/>
  <c r="C12" i="5" s="1"/>
  <c r="AH12" i="4" l="1"/>
  <c r="D11" i="5"/>
  <c r="AB28" i="4"/>
  <c r="N28" i="4"/>
  <c r="AA12" i="4"/>
  <c r="AK12" i="4"/>
  <c r="U12" i="4"/>
  <c r="V12" i="4" s="1"/>
  <c r="X12" i="4"/>
  <c r="Y12" i="4" s="1"/>
  <c r="T13" i="4"/>
  <c r="AG13" i="4" s="1"/>
  <c r="C13" i="5" s="1"/>
  <c r="AH13" i="4" l="1"/>
  <c r="D12" i="5"/>
  <c r="AB29" i="4"/>
  <c r="N29" i="4"/>
  <c r="AA13" i="4"/>
  <c r="T14" i="4"/>
  <c r="AG14" i="4" s="1"/>
  <c r="C14" i="5" s="1"/>
  <c r="U13" i="4"/>
  <c r="V13" i="4" s="1"/>
  <c r="AK13" i="4"/>
  <c r="X13" i="4"/>
  <c r="Y13" i="4" s="1"/>
  <c r="AH14" i="4" l="1"/>
  <c r="D13" i="5"/>
  <c r="AB30" i="4"/>
  <c r="N30" i="4"/>
  <c r="AA14" i="4"/>
  <c r="U14" i="4"/>
  <c r="V14" i="4" s="1"/>
  <c r="AK14" i="4"/>
  <c r="X14" i="4"/>
  <c r="Y14" i="4" s="1"/>
  <c r="T15" i="4"/>
  <c r="AG15" i="4" s="1"/>
  <c r="C15" i="5" s="1"/>
  <c r="AH15" i="4" l="1"/>
  <c r="D15" i="5" s="1"/>
  <c r="D14" i="5"/>
  <c r="AB31" i="4"/>
  <c r="AA15" i="4"/>
  <c r="AK15" i="4"/>
  <c r="U15" i="4"/>
  <c r="V15" i="4" s="1"/>
  <c r="X15" i="4"/>
  <c r="Y15" i="4" s="1"/>
  <c r="AI4" i="4" l="1"/>
  <c r="E4" i="5" s="1"/>
  <c r="AI5" i="4"/>
  <c r="E5" i="5" s="1"/>
  <c r="AI6" i="4"/>
  <c r="E6" i="5" s="1"/>
  <c r="AI7" i="4"/>
  <c r="E7" i="5" s="1"/>
  <c r="AI8" i="4"/>
  <c r="E8" i="5" s="1"/>
  <c r="AI9" i="4"/>
  <c r="E9" i="5" s="1"/>
  <c r="AI10" i="4"/>
  <c r="E10" i="5" s="1"/>
  <c r="AI11" i="4"/>
  <c r="E11" i="5" s="1"/>
  <c r="AI12" i="4"/>
  <c r="E12" i="5" s="1"/>
  <c r="AI13" i="4"/>
  <c r="E13" i="5" s="1"/>
  <c r="AI14" i="4"/>
  <c r="E14" i="5" s="1"/>
  <c r="AI15" i="4"/>
  <c r="E15" i="5" s="1"/>
  <c r="AC4" i="4"/>
  <c r="AC8" i="4"/>
  <c r="AO15" i="4"/>
  <c r="AC14" i="4"/>
  <c r="AO5" i="4"/>
  <c r="AC5" i="4"/>
  <c r="AC13" i="4"/>
  <c r="AC7" i="4"/>
  <c r="AC12" i="4"/>
  <c r="AO12" i="4"/>
  <c r="AC6" i="4"/>
  <c r="AC11" i="4"/>
  <c r="AO9" i="4"/>
  <c r="AO13" i="4"/>
  <c r="AC15" i="4"/>
  <c r="AO4" i="4"/>
  <c r="AO10" i="4"/>
  <c r="AO6" i="4"/>
  <c r="AO14" i="4"/>
  <c r="AO11" i="4"/>
  <c r="AO8" i="4"/>
  <c r="AC10" i="4"/>
  <c r="AC9" i="4"/>
  <c r="AO7" i="4"/>
  <c r="AR9" i="4" l="1"/>
  <c r="AS9" i="4"/>
  <c r="AP9" i="4"/>
  <c r="AQ9" i="4"/>
  <c r="AP15" i="4"/>
  <c r="AQ15" i="4"/>
  <c r="AR15" i="4"/>
  <c r="AS15" i="4"/>
  <c r="AR8" i="4"/>
  <c r="AS8" i="4"/>
  <c r="AP8" i="4"/>
  <c r="AQ8" i="4"/>
  <c r="AR13" i="4"/>
  <c r="AS13" i="4"/>
  <c r="AP13" i="4"/>
  <c r="AQ13" i="4"/>
  <c r="AR6" i="4"/>
  <c r="AS6" i="4"/>
  <c r="AP6" i="4"/>
  <c r="AQ6" i="4"/>
  <c r="AP14" i="4"/>
  <c r="AQ14" i="4"/>
  <c r="AR14" i="4"/>
  <c r="AS14" i="4"/>
  <c r="AR10" i="4"/>
  <c r="AS10" i="4"/>
  <c r="AP10" i="4"/>
  <c r="AQ10" i="4"/>
  <c r="AP5" i="4"/>
  <c r="AQ5" i="4"/>
  <c r="AR5" i="4"/>
  <c r="AS5" i="4"/>
  <c r="AP12" i="4"/>
  <c r="AQ12" i="4"/>
  <c r="AR12" i="4"/>
  <c r="AS12" i="4"/>
  <c r="AR11" i="4"/>
  <c r="AS11" i="4"/>
  <c r="AP11" i="4"/>
  <c r="AQ11" i="4"/>
  <c r="AR7" i="4"/>
  <c r="AS7" i="4"/>
  <c r="AP7" i="4"/>
  <c r="AQ7" i="4"/>
  <c r="AP4" i="4"/>
  <c r="AQ4" i="4"/>
  <c r="AS4" i="4"/>
  <c r="AR4" i="4"/>
  <c r="I5" i="4" l="1"/>
  <c r="I11" i="4"/>
  <c r="I17" i="4"/>
  <c r="I6" i="4"/>
  <c r="I12" i="4"/>
  <c r="I18" i="4"/>
  <c r="I7" i="4"/>
  <c r="I13" i="4"/>
  <c r="I19" i="4"/>
  <c r="I8" i="4"/>
  <c r="I14" i="4"/>
  <c r="I20" i="4"/>
  <c r="I10" i="4"/>
  <c r="I16" i="4"/>
  <c r="I9" i="4"/>
  <c r="I15" i="4"/>
  <c r="I21" i="4"/>
  <c r="H77" i="4"/>
  <c r="H83" i="4"/>
  <c r="H89" i="4"/>
  <c r="H78" i="4"/>
  <c r="H84" i="4"/>
  <c r="H90" i="4"/>
  <c r="H88" i="4"/>
  <c r="H79" i="4"/>
  <c r="H85" i="4"/>
  <c r="H91" i="4"/>
  <c r="H80" i="4"/>
  <c r="H86" i="4"/>
  <c r="H92" i="4"/>
  <c r="H81" i="4"/>
  <c r="H87" i="4"/>
  <c r="H93" i="4"/>
  <c r="H82" i="4"/>
  <c r="H76" i="4"/>
  <c r="I82" i="4"/>
  <c r="I77" i="4"/>
  <c r="I83" i="4"/>
  <c r="I89" i="4"/>
  <c r="I78" i="4"/>
  <c r="I84" i="4"/>
  <c r="I90" i="4"/>
  <c r="I76" i="4"/>
  <c r="I79" i="4"/>
  <c r="I85" i="4"/>
  <c r="I91" i="4"/>
  <c r="I88" i="4"/>
  <c r="I80" i="4"/>
  <c r="I86" i="4"/>
  <c r="I92" i="4"/>
  <c r="I81" i="4"/>
  <c r="I87" i="4"/>
  <c r="I93" i="4"/>
  <c r="I217" i="4"/>
  <c r="I203" i="4"/>
  <c r="I209" i="4"/>
  <c r="I215" i="4"/>
  <c r="I204" i="4"/>
  <c r="I210" i="4"/>
  <c r="I216" i="4"/>
  <c r="I211" i="4"/>
  <c r="I219" i="4"/>
  <c r="I205" i="4"/>
  <c r="I208" i="4"/>
  <c r="I206" i="4"/>
  <c r="I212" i="4"/>
  <c r="I218" i="4"/>
  <c r="I213" i="4"/>
  <c r="I202" i="4"/>
  <c r="I207" i="4"/>
  <c r="I214" i="4"/>
  <c r="I149" i="4"/>
  <c r="I155" i="4"/>
  <c r="I161" i="4"/>
  <c r="I150" i="4"/>
  <c r="I156" i="4"/>
  <c r="I162" i="4"/>
  <c r="I154" i="4"/>
  <c r="I151" i="4"/>
  <c r="I157" i="4"/>
  <c r="I163" i="4"/>
  <c r="I165" i="4"/>
  <c r="I148" i="4"/>
  <c r="I152" i="4"/>
  <c r="I158" i="4"/>
  <c r="I164" i="4"/>
  <c r="I159" i="4"/>
  <c r="I153" i="4"/>
  <c r="I160" i="4"/>
  <c r="H185" i="4"/>
  <c r="H191" i="4"/>
  <c r="H197" i="4"/>
  <c r="H196" i="4"/>
  <c r="H186" i="4"/>
  <c r="H192" i="4"/>
  <c r="H198" i="4"/>
  <c r="H190" i="4"/>
  <c r="H187" i="4"/>
  <c r="H193" i="4"/>
  <c r="H199" i="4"/>
  <c r="H188" i="4"/>
  <c r="H194" i="4"/>
  <c r="H200" i="4"/>
  <c r="H184" i="4"/>
  <c r="H189" i="4"/>
  <c r="H195" i="4"/>
  <c r="H201" i="4"/>
  <c r="H59" i="4"/>
  <c r="H65" i="4"/>
  <c r="H71" i="4"/>
  <c r="H60" i="4"/>
  <c r="H66" i="4"/>
  <c r="H72" i="4"/>
  <c r="H64" i="4"/>
  <c r="H58" i="4"/>
  <c r="H61" i="4"/>
  <c r="H67" i="4"/>
  <c r="H73" i="4"/>
  <c r="H62" i="4"/>
  <c r="H68" i="4"/>
  <c r="H74" i="4"/>
  <c r="H70" i="4"/>
  <c r="H63" i="4"/>
  <c r="H69" i="4"/>
  <c r="H75" i="4"/>
  <c r="H23" i="4"/>
  <c r="H29" i="4"/>
  <c r="H35" i="4"/>
  <c r="H24" i="4"/>
  <c r="H30" i="4"/>
  <c r="H36" i="4"/>
  <c r="H25" i="4"/>
  <c r="H31" i="4"/>
  <c r="H37" i="4"/>
  <c r="H34" i="4"/>
  <c r="H26" i="4"/>
  <c r="H32" i="4"/>
  <c r="H38" i="4"/>
  <c r="H22" i="4"/>
  <c r="H28" i="4"/>
  <c r="H27" i="4"/>
  <c r="H33" i="4"/>
  <c r="H39" i="4"/>
  <c r="H95" i="4"/>
  <c r="H101" i="4"/>
  <c r="H107" i="4"/>
  <c r="H94" i="4"/>
  <c r="H106" i="4"/>
  <c r="H96" i="4"/>
  <c r="H102" i="4"/>
  <c r="H108" i="4"/>
  <c r="H97" i="4"/>
  <c r="H103" i="4"/>
  <c r="H109" i="4"/>
  <c r="H100" i="4"/>
  <c r="H98" i="4"/>
  <c r="H104" i="4"/>
  <c r="H110" i="4"/>
  <c r="H99" i="4"/>
  <c r="H105" i="4"/>
  <c r="H111" i="4"/>
  <c r="I189" i="4"/>
  <c r="I190" i="4"/>
  <c r="I185" i="4"/>
  <c r="I191" i="4"/>
  <c r="I197" i="4"/>
  <c r="I186" i="4"/>
  <c r="I192" i="4"/>
  <c r="I198" i="4"/>
  <c r="I201" i="4"/>
  <c r="I184" i="4"/>
  <c r="I187" i="4"/>
  <c r="I193" i="4"/>
  <c r="I199" i="4"/>
  <c r="I196" i="4"/>
  <c r="I188" i="4"/>
  <c r="I194" i="4"/>
  <c r="I200" i="4"/>
  <c r="I195" i="4"/>
  <c r="H5" i="4"/>
  <c r="H11" i="4"/>
  <c r="H17" i="4"/>
  <c r="H16" i="4"/>
  <c r="H6" i="4"/>
  <c r="H12" i="4"/>
  <c r="H18" i="4"/>
  <c r="H7" i="4"/>
  <c r="H13" i="4"/>
  <c r="H19" i="4"/>
  <c r="H10" i="4"/>
  <c r="H8" i="4"/>
  <c r="H14" i="4"/>
  <c r="H20" i="4"/>
  <c r="H9" i="4"/>
  <c r="H15" i="4"/>
  <c r="H21" i="4"/>
  <c r="H41" i="4"/>
  <c r="H47" i="4"/>
  <c r="H53" i="4"/>
  <c r="H40" i="4"/>
  <c r="H42" i="4"/>
  <c r="H48" i="4"/>
  <c r="H54" i="4"/>
  <c r="H43" i="4"/>
  <c r="H49" i="4"/>
  <c r="H55" i="4"/>
  <c r="H44" i="4"/>
  <c r="H50" i="4"/>
  <c r="H56" i="4"/>
  <c r="H45" i="4"/>
  <c r="H51" i="4"/>
  <c r="H57" i="4"/>
  <c r="H52" i="4"/>
  <c r="H46" i="4"/>
  <c r="H203" i="4"/>
  <c r="H209" i="4"/>
  <c r="H215" i="4"/>
  <c r="H204" i="4"/>
  <c r="H210" i="4"/>
  <c r="H216" i="4"/>
  <c r="H208" i="4"/>
  <c r="H205" i="4"/>
  <c r="H211" i="4"/>
  <c r="H217" i="4"/>
  <c r="H202" i="4"/>
  <c r="H206" i="4"/>
  <c r="H212" i="4"/>
  <c r="H218" i="4"/>
  <c r="H207" i="4"/>
  <c r="H213" i="4"/>
  <c r="H219" i="4"/>
  <c r="H214" i="4"/>
  <c r="H149" i="4"/>
  <c r="H155" i="4"/>
  <c r="H161" i="4"/>
  <c r="H154" i="4"/>
  <c r="H150" i="4"/>
  <c r="H156" i="4"/>
  <c r="H162" i="4"/>
  <c r="H151" i="4"/>
  <c r="H157" i="4"/>
  <c r="H163" i="4"/>
  <c r="H148" i="4"/>
  <c r="H152" i="4"/>
  <c r="H158" i="4"/>
  <c r="H164" i="4"/>
  <c r="H153" i="4"/>
  <c r="H159" i="4"/>
  <c r="H165" i="4"/>
  <c r="H160" i="4"/>
  <c r="I34" i="4"/>
  <c r="I23" i="4"/>
  <c r="I29" i="4"/>
  <c r="I35" i="4"/>
  <c r="I24" i="4"/>
  <c r="I30" i="4"/>
  <c r="I36" i="4"/>
  <c r="I28" i="4"/>
  <c r="I25" i="4"/>
  <c r="I31" i="4"/>
  <c r="I37" i="4"/>
  <c r="I22" i="4"/>
  <c r="I26" i="4"/>
  <c r="I32" i="4"/>
  <c r="I38" i="4"/>
  <c r="I27" i="4"/>
  <c r="I33" i="4"/>
  <c r="I39" i="4"/>
  <c r="I59" i="4"/>
  <c r="I65" i="4"/>
  <c r="I71" i="4"/>
  <c r="I60" i="4"/>
  <c r="I66" i="4"/>
  <c r="I72" i="4"/>
  <c r="I61" i="4"/>
  <c r="I67" i="4"/>
  <c r="I73" i="4"/>
  <c r="I62" i="4"/>
  <c r="I68" i="4"/>
  <c r="I74" i="4"/>
  <c r="I64" i="4"/>
  <c r="I58" i="4"/>
  <c r="I63" i="4"/>
  <c r="I69" i="4"/>
  <c r="I75" i="4"/>
  <c r="I70" i="4"/>
  <c r="I41" i="4"/>
  <c r="I47" i="4"/>
  <c r="I53" i="4"/>
  <c r="I42" i="4"/>
  <c r="I48" i="4"/>
  <c r="I54" i="4"/>
  <c r="I40" i="4"/>
  <c r="I43" i="4"/>
  <c r="I49" i="4"/>
  <c r="I55" i="4"/>
  <c r="I44" i="4"/>
  <c r="I50" i="4"/>
  <c r="I56" i="4"/>
  <c r="I45" i="4"/>
  <c r="I51" i="4"/>
  <c r="I57" i="4"/>
  <c r="I46" i="4"/>
  <c r="I52" i="4"/>
  <c r="H131" i="4"/>
  <c r="H137" i="4"/>
  <c r="H143" i="4"/>
  <c r="H132" i="4"/>
  <c r="H138" i="4"/>
  <c r="H144" i="4"/>
  <c r="H136" i="4"/>
  <c r="H133" i="4"/>
  <c r="H139" i="4"/>
  <c r="H145" i="4"/>
  <c r="H142" i="4"/>
  <c r="H134" i="4"/>
  <c r="H140" i="4"/>
  <c r="H146" i="4"/>
  <c r="H135" i="4"/>
  <c r="H141" i="4"/>
  <c r="H147" i="4"/>
  <c r="H130" i="4"/>
  <c r="H113" i="4"/>
  <c r="H119" i="4"/>
  <c r="H125" i="4"/>
  <c r="H114" i="4"/>
  <c r="H120" i="4"/>
  <c r="H126" i="4"/>
  <c r="H115" i="4"/>
  <c r="H121" i="4"/>
  <c r="H127" i="4"/>
  <c r="H116" i="4"/>
  <c r="H122" i="4"/>
  <c r="H128" i="4"/>
  <c r="H112" i="4"/>
  <c r="H124" i="4"/>
  <c r="H117" i="4"/>
  <c r="H123" i="4"/>
  <c r="H129" i="4"/>
  <c r="H118" i="4"/>
  <c r="H167" i="4"/>
  <c r="H173" i="4"/>
  <c r="H179" i="4"/>
  <c r="H166" i="4"/>
  <c r="H168" i="4"/>
  <c r="H174" i="4"/>
  <c r="H180" i="4"/>
  <c r="H169" i="4"/>
  <c r="H175" i="4"/>
  <c r="H181" i="4"/>
  <c r="H170" i="4"/>
  <c r="H176" i="4"/>
  <c r="H182" i="4"/>
  <c r="H172" i="4"/>
  <c r="H171" i="4"/>
  <c r="H177" i="4"/>
  <c r="H183" i="4"/>
  <c r="H178" i="4"/>
  <c r="I141" i="4"/>
  <c r="I136" i="4"/>
  <c r="I131" i="4"/>
  <c r="I137" i="4"/>
  <c r="I143" i="4"/>
  <c r="I147" i="4"/>
  <c r="I132" i="4"/>
  <c r="I138" i="4"/>
  <c r="I144" i="4"/>
  <c r="I135" i="4"/>
  <c r="I130" i="4"/>
  <c r="I133" i="4"/>
  <c r="I139" i="4"/>
  <c r="I145" i="4"/>
  <c r="I134" i="4"/>
  <c r="I140" i="4"/>
  <c r="I146" i="4"/>
  <c r="I142" i="4"/>
  <c r="I113" i="4"/>
  <c r="I119" i="4"/>
  <c r="I125" i="4"/>
  <c r="I117" i="4"/>
  <c r="I114" i="4"/>
  <c r="I120" i="4"/>
  <c r="I126" i="4"/>
  <c r="I129" i="4"/>
  <c r="I115" i="4"/>
  <c r="I121" i="4"/>
  <c r="I127" i="4"/>
  <c r="I112" i="4"/>
  <c r="I116" i="4"/>
  <c r="I122" i="4"/>
  <c r="I128" i="4"/>
  <c r="I124" i="4"/>
  <c r="I123" i="4"/>
  <c r="I118" i="4"/>
  <c r="I167" i="4"/>
  <c r="I173" i="4"/>
  <c r="I179" i="4"/>
  <c r="I177" i="4"/>
  <c r="I178" i="4"/>
  <c r="I168" i="4"/>
  <c r="I174" i="4"/>
  <c r="I180" i="4"/>
  <c r="I169" i="4"/>
  <c r="I175" i="4"/>
  <c r="I181" i="4"/>
  <c r="I171" i="4"/>
  <c r="I183" i="4"/>
  <c r="I170" i="4"/>
  <c r="I176" i="4"/>
  <c r="I182" i="4"/>
  <c r="I166" i="4"/>
  <c r="I172" i="4"/>
  <c r="I95" i="4"/>
  <c r="I101" i="4"/>
  <c r="I107" i="4"/>
  <c r="I100" i="4"/>
  <c r="I96" i="4"/>
  <c r="I102" i="4"/>
  <c r="I108" i="4"/>
  <c r="I94" i="4"/>
  <c r="I97" i="4"/>
  <c r="I103" i="4"/>
  <c r="I109" i="4"/>
  <c r="I98" i="4"/>
  <c r="I104" i="4"/>
  <c r="I110" i="4"/>
  <c r="I106" i="4"/>
  <c r="I99" i="4"/>
  <c r="I105" i="4"/>
  <c r="I111" i="4"/>
  <c r="H4" i="4"/>
  <c r="I4" i="4"/>
  <c r="G4" i="5" l="1"/>
  <c r="O23" i="4"/>
  <c r="H8" i="5"/>
  <c r="I8" i="5"/>
  <c r="G8" i="5"/>
  <c r="P23" i="4"/>
  <c r="Q23" i="4"/>
  <c r="O20" i="4"/>
  <c r="P20" i="4"/>
  <c r="Q20" i="4"/>
  <c r="O5" i="4"/>
  <c r="P5" i="4"/>
  <c r="Q5" i="4"/>
  <c r="O29" i="4"/>
  <c r="G14" i="5"/>
  <c r="Q29" i="4"/>
  <c r="P29" i="4"/>
  <c r="I14" i="5"/>
  <c r="H14" i="5"/>
  <c r="O25" i="4"/>
  <c r="H10" i="5"/>
  <c r="G10" i="5"/>
  <c r="I10" i="5"/>
  <c r="Q25" i="4"/>
  <c r="P25" i="4"/>
  <c r="H4" i="5"/>
  <c r="I4" i="5"/>
  <c r="H5" i="5"/>
  <c r="G5" i="5"/>
  <c r="I5" i="5"/>
  <c r="P19" i="4"/>
  <c r="Q19" i="4"/>
  <c r="O19" i="4"/>
  <c r="O26" i="4"/>
  <c r="G11" i="5"/>
  <c r="H11" i="5"/>
  <c r="I11" i="5"/>
  <c r="P26" i="4"/>
  <c r="Q26" i="4"/>
  <c r="P15" i="4"/>
  <c r="O15" i="4"/>
  <c r="Q15" i="4"/>
  <c r="O9" i="4"/>
  <c r="P9" i="4"/>
  <c r="Q9" i="4"/>
  <c r="O22" i="4"/>
  <c r="G7" i="5"/>
  <c r="H7" i="5"/>
  <c r="I7" i="5"/>
  <c r="Q22" i="4"/>
  <c r="P22" i="4"/>
  <c r="Q13" i="4"/>
  <c r="P13" i="4"/>
  <c r="O13" i="4"/>
  <c r="O30" i="4"/>
  <c r="G15" i="5"/>
  <c r="H15" i="5"/>
  <c r="Q30" i="4"/>
  <c r="P30" i="4"/>
  <c r="I15" i="5"/>
  <c r="O10" i="4"/>
  <c r="P10" i="4"/>
  <c r="Q10" i="4"/>
  <c r="O11" i="4"/>
  <c r="P11" i="4"/>
  <c r="Q11" i="4"/>
  <c r="O12" i="4"/>
  <c r="P12" i="4"/>
  <c r="Q12" i="4"/>
  <c r="H9" i="5"/>
  <c r="I9" i="5"/>
  <c r="G9" i="5"/>
  <c r="Q24" i="4"/>
  <c r="P24" i="4"/>
  <c r="O24" i="4"/>
  <c r="G6" i="5"/>
  <c r="H6" i="5"/>
  <c r="I6" i="5"/>
  <c r="O21" i="4"/>
  <c r="Q21" i="4"/>
  <c r="P21" i="4"/>
  <c r="G12" i="5"/>
  <c r="H12" i="5"/>
  <c r="O27" i="4"/>
  <c r="P27" i="4"/>
  <c r="Q27" i="4"/>
  <c r="I12" i="5"/>
  <c r="Q14" i="4"/>
  <c r="P14" i="4"/>
  <c r="O14" i="4"/>
  <c r="O28" i="4"/>
  <c r="H13" i="5"/>
  <c r="I13" i="5"/>
  <c r="G13" i="5"/>
  <c r="P28" i="4"/>
  <c r="Q28" i="4"/>
  <c r="O6" i="4"/>
  <c r="Q6" i="4"/>
  <c r="P6" i="4"/>
  <c r="P8" i="4"/>
  <c r="Q8" i="4"/>
  <c r="O8" i="4"/>
  <c r="O7" i="4"/>
  <c r="P7" i="4"/>
  <c r="Q7" i="4"/>
  <c r="O4" i="4"/>
  <c r="P4" i="4"/>
  <c r="Q4" i="4"/>
  <c r="L59" i="5" a="1"/>
  <c r="L62" i="5" a="1"/>
  <c r="M36" i="5" a="1"/>
  <c r="N27" i="5" a="1"/>
  <c r="N60" i="5" a="1"/>
  <c r="N68" i="5" a="1"/>
  <c r="N30" i="5" a="1"/>
  <c r="L68" i="5" a="1"/>
  <c r="L64" i="5" a="1"/>
  <c r="N64" i="5" a="1"/>
  <c r="L37" i="5" a="1"/>
  <c r="M35" i="5" a="1"/>
  <c r="L63" i="5" a="1"/>
  <c r="M28" i="5" a="1"/>
  <c r="L28" i="5" a="1"/>
  <c r="N58" i="5" a="1"/>
  <c r="N63" i="5" a="1"/>
  <c r="N37" i="5" a="1"/>
  <c r="M58" i="5" a="1"/>
  <c r="M69" i="5" a="1"/>
  <c r="N33" i="5" a="1"/>
  <c r="L67" i="5" a="1"/>
  <c r="M59" i="5" a="1"/>
  <c r="L66" i="5" a="1"/>
  <c r="L29" i="5" a="1"/>
  <c r="M33" i="5" a="1"/>
  <c r="N32" i="5" a="1"/>
  <c r="M63" i="5" a="1"/>
  <c r="N35" i="5" a="1"/>
  <c r="M64" i="5" a="1"/>
  <c r="L61" i="5" a="1"/>
  <c r="N62" i="5" a="1"/>
  <c r="M29" i="5" a="1"/>
  <c r="N36" i="5" a="1"/>
  <c r="L36" i="5" a="1"/>
  <c r="M61" i="5" a="1"/>
  <c r="L30" i="5" a="1"/>
  <c r="L35" i="5" a="1"/>
  <c r="L33" i="5" a="1"/>
  <c r="M27" i="5" a="1"/>
  <c r="L60" i="5" a="1"/>
  <c r="L65" i="5" a="1"/>
  <c r="M65" i="5" a="1"/>
  <c r="L34" i="5" a="1"/>
  <c r="L26" i="5" a="1"/>
  <c r="N26" i="5" a="1"/>
  <c r="M34" i="5" a="1"/>
  <c r="L69" i="5" a="1"/>
  <c r="M26" i="5" a="1"/>
  <c r="M68" i="5" a="1"/>
  <c r="N28" i="5" a="1"/>
  <c r="L32" i="5" a="1"/>
  <c r="N59" i="5" a="1"/>
  <c r="L31" i="5" a="1"/>
  <c r="M66" i="5" a="1"/>
  <c r="M62" i="5" a="1"/>
  <c r="N29" i="5" a="1"/>
  <c r="L27" i="5" a="1"/>
  <c r="M67" i="5" a="1"/>
  <c r="N31" i="5" a="1"/>
  <c r="M31" i="5" a="1"/>
  <c r="N69" i="5" a="1"/>
  <c r="M30" i="5" a="1"/>
  <c r="L58" i="5" a="1"/>
  <c r="N65" i="5" a="1"/>
  <c r="N61" i="5" a="1"/>
  <c r="N34" i="5" a="1"/>
  <c r="L26" i="5" l="1"/>
  <c r="L42" i="5" s="1"/>
  <c r="L29" i="5"/>
  <c r="L45" i="5" s="1"/>
  <c r="L27" i="5"/>
  <c r="L43" i="5" s="1"/>
  <c r="L28" i="5"/>
  <c r="L44" i="5" s="1"/>
  <c r="R22" i="4"/>
  <c r="R26" i="4"/>
  <c r="R19" i="4"/>
  <c r="R15" i="4"/>
  <c r="R6" i="4"/>
  <c r="R10" i="4"/>
  <c r="R29" i="4"/>
  <c r="R23" i="4"/>
  <c r="N69" i="5"/>
  <c r="N85" i="5" s="1"/>
  <c r="N37" i="5"/>
  <c r="N53" i="5" s="1"/>
  <c r="M66" i="5"/>
  <c r="M82" i="5" s="1"/>
  <c r="M34" i="5"/>
  <c r="M50" i="5" s="1"/>
  <c r="N63" i="5"/>
  <c r="N79" i="5" s="1"/>
  <c r="N31" i="5"/>
  <c r="N47" i="5" s="1"/>
  <c r="L61" i="5"/>
  <c r="L77" i="5" s="1"/>
  <c r="L65" i="5"/>
  <c r="L81" i="5" s="1"/>
  <c r="L33" i="5"/>
  <c r="L49" i="5" s="1"/>
  <c r="L67" i="5"/>
  <c r="L83" i="5" s="1"/>
  <c r="L35" i="5"/>
  <c r="L51" i="5" s="1"/>
  <c r="L66" i="5"/>
  <c r="L82" i="5" s="1"/>
  <c r="L34" i="5"/>
  <c r="L50" i="5" s="1"/>
  <c r="M63" i="5"/>
  <c r="M79" i="5" s="1"/>
  <c r="M31" i="5"/>
  <c r="M47" i="5" s="1"/>
  <c r="N64" i="5"/>
  <c r="N80" i="5" s="1"/>
  <c r="N32" i="5"/>
  <c r="N48" i="5" s="1"/>
  <c r="M65" i="5"/>
  <c r="M81" i="5" s="1"/>
  <c r="M33" i="5"/>
  <c r="M49" i="5" s="1"/>
  <c r="N35" i="5"/>
  <c r="N51" i="5" s="1"/>
  <c r="M69" i="5"/>
  <c r="M85" i="5" s="1"/>
  <c r="L64" i="5"/>
  <c r="L80" i="5" s="1"/>
  <c r="L32" i="5"/>
  <c r="L48" i="5" s="1"/>
  <c r="L63" i="5"/>
  <c r="L79" i="5" s="1"/>
  <c r="L31" i="5"/>
  <c r="L47" i="5" s="1"/>
  <c r="M67" i="5"/>
  <c r="M83" i="5" s="1"/>
  <c r="M35" i="5"/>
  <c r="M51" i="5" s="1"/>
  <c r="L69" i="5"/>
  <c r="L85" i="5" s="1"/>
  <c r="L37" i="5"/>
  <c r="L53" i="5" s="1"/>
  <c r="M64" i="5"/>
  <c r="M80" i="5" s="1"/>
  <c r="M61" i="5"/>
  <c r="M77" i="5" s="1"/>
  <c r="M29" i="5"/>
  <c r="M45" i="5" s="1"/>
  <c r="N61" i="5"/>
  <c r="N77" i="5" s="1"/>
  <c r="N29" i="5"/>
  <c r="N45" i="5" s="1"/>
  <c r="N60" i="5"/>
  <c r="N76" i="5" s="1"/>
  <c r="N28" i="5"/>
  <c r="N44" i="5" s="1"/>
  <c r="N59" i="5"/>
  <c r="N75" i="5" s="1"/>
  <c r="N27" i="5"/>
  <c r="N43" i="5" s="1"/>
  <c r="M68" i="5"/>
  <c r="M84" i="5" s="1"/>
  <c r="M36" i="5"/>
  <c r="M52" i="5" s="1"/>
  <c r="N68" i="5"/>
  <c r="N84" i="5" s="1"/>
  <c r="N36" i="5"/>
  <c r="N52" i="5" s="1"/>
  <c r="M28" i="5"/>
  <c r="M44" i="5" s="1"/>
  <c r="L59" i="5"/>
  <c r="L75" i="5" s="1"/>
  <c r="L60" i="5"/>
  <c r="L76" i="5" s="1"/>
  <c r="M59" i="5"/>
  <c r="M75" i="5" s="1"/>
  <c r="M27" i="5"/>
  <c r="M43" i="5" s="1"/>
  <c r="L62" i="5"/>
  <c r="L78" i="5" s="1"/>
  <c r="L30" i="5"/>
  <c r="L46" i="5" s="1"/>
  <c r="L58" i="5"/>
  <c r="L74" i="5" s="1"/>
  <c r="N34" i="5"/>
  <c r="N50" i="5" s="1"/>
  <c r="N58" i="5"/>
  <c r="N74" i="5" s="1"/>
  <c r="N26" i="5"/>
  <c r="N42" i="5" s="1"/>
  <c r="N62" i="5"/>
  <c r="N78" i="5" s="1"/>
  <c r="N30" i="5"/>
  <c r="N46" i="5" s="1"/>
  <c r="N65" i="5"/>
  <c r="N81" i="5" s="1"/>
  <c r="N33" i="5"/>
  <c r="N49" i="5" s="1"/>
  <c r="M58" i="5"/>
  <c r="M74" i="5" s="1"/>
  <c r="M26" i="5"/>
  <c r="M42" i="5" s="1"/>
  <c r="L68" i="5"/>
  <c r="L84" i="5" s="1"/>
  <c r="L36" i="5"/>
  <c r="L52" i="5" s="1"/>
  <c r="M62" i="5"/>
  <c r="M78" i="5" s="1"/>
  <c r="M30" i="5"/>
  <c r="M46" i="5" s="1"/>
  <c r="R27" i="4"/>
  <c r="R5" i="4"/>
  <c r="R4" i="4"/>
  <c r="R7" i="4"/>
  <c r="R28" i="4"/>
  <c r="R21" i="4"/>
  <c r="R12" i="4"/>
  <c r="R30" i="4"/>
  <c r="R9" i="4"/>
  <c r="R25" i="4"/>
  <c r="R20" i="4"/>
  <c r="R8" i="4"/>
  <c r="R14" i="4"/>
  <c r="R13" i="4"/>
  <c r="R11" i="4"/>
  <c r="R24" i="4"/>
  <c r="M37" i="5" a="1"/>
  <c r="M60" i="5" a="1"/>
  <c r="N67" i="5" a="1"/>
  <c r="M32" i="5" a="1"/>
  <c r="N66" i="5" a="1"/>
  <c r="N66" i="5" l="1"/>
  <c r="N82" i="5" s="1"/>
  <c r="M60" i="5"/>
  <c r="M76" i="5" s="1"/>
  <c r="M6" i="5" s="1"/>
  <c r="R6" i="5" s="1"/>
  <c r="M32" i="5"/>
  <c r="M48" i="5" s="1"/>
  <c r="M10" i="5" s="1"/>
  <c r="R10" i="5" s="1"/>
  <c r="N67" i="5"/>
  <c r="N83" i="5" s="1"/>
  <c r="N13" i="5" s="1"/>
  <c r="S13" i="5" s="1"/>
  <c r="M37" i="5"/>
  <c r="M53" i="5" s="1"/>
  <c r="M15" i="5" s="1"/>
  <c r="R15" i="5" s="1"/>
  <c r="N11" i="5"/>
  <c r="S11" i="5" s="1"/>
  <c r="M7" i="5"/>
  <c r="R7" i="5" s="1"/>
  <c r="M8" i="5"/>
  <c r="R8" i="5" s="1"/>
  <c r="M5" i="5"/>
  <c r="R5" i="5" s="1"/>
  <c r="N5" i="5"/>
  <c r="S5" i="5" s="1"/>
  <c r="M4" i="5"/>
  <c r="R4" i="5" s="1"/>
  <c r="N4" i="5"/>
  <c r="S4" i="5" s="1"/>
  <c r="N15" i="5"/>
  <c r="S15" i="5" s="1"/>
  <c r="L14" i="5"/>
  <c r="Q14" i="5" s="1"/>
  <c r="L4" i="5"/>
  <c r="Q4" i="5" s="1"/>
  <c r="L8" i="5"/>
  <c r="Q8" i="5" s="1"/>
  <c r="N14" i="5"/>
  <c r="S14" i="5" s="1"/>
  <c r="N10" i="5"/>
  <c r="S10" i="5" s="1"/>
  <c r="L5" i="5"/>
  <c r="Q5" i="5" s="1"/>
  <c r="L13" i="5"/>
  <c r="Q13" i="5" s="1"/>
  <c r="M14" i="5"/>
  <c r="R14" i="5" s="1"/>
  <c r="L15" i="5"/>
  <c r="Q15" i="5" s="1"/>
  <c r="N7" i="5"/>
  <c r="S7" i="5" s="1"/>
  <c r="M11" i="5"/>
  <c r="R11" i="5" s="1"/>
  <c r="M9" i="5"/>
  <c r="R9" i="5" s="1"/>
  <c r="N6" i="5"/>
  <c r="S6" i="5" s="1"/>
  <c r="L11" i="5"/>
  <c r="Q11" i="5" s="1"/>
  <c r="L10" i="5"/>
  <c r="Q10" i="5" s="1"/>
  <c r="L7" i="5"/>
  <c r="Q7" i="5" s="1"/>
  <c r="N8" i="5"/>
  <c r="S8" i="5" s="1"/>
  <c r="L6" i="5"/>
  <c r="Q6" i="5" s="1"/>
  <c r="L9" i="5"/>
  <c r="Q9" i="5" s="1"/>
  <c r="M12" i="5"/>
  <c r="R12" i="5" s="1"/>
  <c r="M13" i="5"/>
  <c r="R13" i="5" s="1"/>
  <c r="N9" i="5"/>
  <c r="S9" i="5" s="1"/>
  <c r="L12" i="5"/>
  <c r="Q12" i="5" s="1"/>
  <c r="N12" i="5"/>
  <c r="S12" i="5" s="1"/>
  <c r="A40" i="4" l="1"/>
  <c r="A148" i="4"/>
  <c r="A149" i="4" l="1"/>
  <c r="A150" i="4"/>
  <c r="A151" i="4" s="1"/>
  <c r="A152" i="4" s="1"/>
  <c r="A153" i="4" s="1"/>
  <c r="A154" i="4" s="1"/>
  <c r="A155" i="4" s="1"/>
  <c r="A156" i="4" s="1"/>
  <c r="A157" i="4" s="1"/>
  <c r="A158" i="4" s="1"/>
  <c r="A159" i="4" s="1"/>
  <c r="A160" i="4" s="1"/>
  <c r="A161" i="4" s="1"/>
  <c r="A162" i="4" s="1"/>
  <c r="A163" i="4" s="1"/>
  <c r="A164" i="4" s="1"/>
  <c r="A41" i="4"/>
  <c r="A42" i="4"/>
  <c r="A58" i="4"/>
  <c r="A59" i="4"/>
  <c r="A60" i="4"/>
  <c r="A61" i="4" s="1"/>
  <c r="A62" i="4" s="1"/>
  <c r="A63" i="4" s="1"/>
  <c r="A64" i="4" s="1"/>
  <c r="A65" i="4" s="1"/>
  <c r="A66" i="4" s="1"/>
  <c r="A67" i="4" s="1"/>
  <c r="A68" i="4" s="1"/>
  <c r="A69" i="4" s="1"/>
  <c r="A70" i="4" s="1"/>
  <c r="A71" i="4" s="1"/>
  <c r="A72" i="4" s="1"/>
  <c r="A73" i="4" s="1"/>
  <c r="A74" i="4" s="1"/>
  <c r="A75" i="4" s="1"/>
  <c r="A22" i="4"/>
  <c r="A23" i="4" s="1"/>
  <c r="A24" i="4" s="1"/>
  <c r="A25" i="4" s="1"/>
  <c r="A26" i="4" s="1"/>
  <c r="A27" i="4" s="1"/>
  <c r="A28" i="4" s="1"/>
  <c r="A29" i="4" s="1"/>
  <c r="A30" i="4" s="1"/>
  <c r="A31" i="4" s="1"/>
  <c r="A32" i="4" s="1"/>
  <c r="A33" i="4" s="1"/>
  <c r="A34" i="4" s="1"/>
  <c r="A35" i="4" s="1"/>
  <c r="A36" i="4" s="1"/>
  <c r="A37" i="4" s="1"/>
  <c r="A38" i="4" s="1"/>
  <c r="A39" i="4" s="1"/>
  <c r="A76" i="4"/>
  <c r="A77" i="4"/>
  <c r="A78" i="4" s="1"/>
  <c r="A79" i="4" s="1"/>
  <c r="A80" i="4" s="1"/>
  <c r="A81" i="4" s="1"/>
  <c r="A82" i="4" s="1"/>
  <c r="A83" i="4" s="1"/>
  <c r="A84" i="4" s="1"/>
  <c r="A85" i="4" s="1"/>
  <c r="A86" i="4" s="1"/>
  <c r="A87" i="4" s="1"/>
  <c r="A88" i="4" s="1"/>
  <c r="A89" i="4" s="1"/>
  <c r="A90" i="4" s="1"/>
  <c r="A91" i="4" s="1"/>
  <c r="A92" i="4" s="1"/>
  <c r="A93" i="4" s="1"/>
  <c r="A94" i="4"/>
  <c r="A95" i="4"/>
  <c r="A96" i="4"/>
  <c r="A97" i="4"/>
  <c r="A98" i="4"/>
  <c r="A99" i="4"/>
  <c r="A100" i="4" s="1"/>
  <c r="A101" i="4" s="1"/>
  <c r="A102" i="4" s="1"/>
  <c r="A103" i="4" s="1"/>
  <c r="A104" i="4" s="1"/>
  <c r="A105" i="4" s="1"/>
  <c r="A106" i="4" s="1"/>
  <c r="A107" i="4" s="1"/>
  <c r="A108" i="4" s="1"/>
  <c r="A109" i="4" s="1"/>
  <c r="A110" i="4" s="1"/>
  <c r="A111" i="4" s="1"/>
  <c r="A112" i="4"/>
  <c r="A113" i="4"/>
  <c r="A114" i="4" s="1"/>
  <c r="A115" i="4" s="1"/>
  <c r="A116" i="4" s="1"/>
  <c r="A117" i="4" s="1"/>
  <c r="A118" i="4" s="1"/>
  <c r="A119" i="4" s="1"/>
  <c r="A120" i="4" s="1"/>
  <c r="A121" i="4" s="1"/>
  <c r="A122" i="4" s="1"/>
  <c r="A123" i="4" s="1"/>
  <c r="A124" i="4" s="1"/>
  <c r="A125" i="4" s="1"/>
  <c r="A126" i="4" s="1"/>
  <c r="A127" i="4" s="1"/>
  <c r="A128" i="4" s="1"/>
  <c r="A129" i="4" s="1"/>
  <c r="A130" i="4"/>
  <c r="A131" i="4" s="1"/>
  <c r="A132" i="4" s="1"/>
  <c r="A133" i="4" s="1"/>
  <c r="A134" i="4" s="1"/>
  <c r="A135" i="4" s="1"/>
  <c r="A136" i="4" s="1"/>
  <c r="A137" i="4" s="1"/>
  <c r="A138" i="4" s="1"/>
  <c r="A139" i="4" s="1"/>
  <c r="A140" i="4" s="1"/>
  <c r="A141" i="4" s="1"/>
  <c r="A142" i="4" s="1"/>
  <c r="A143" i="4" s="1"/>
  <c r="A144" i="4" s="1"/>
  <c r="A145" i="4" s="1"/>
  <c r="A146" i="4" s="1"/>
  <c r="A147" i="4" s="1"/>
  <c r="A43" i="4"/>
  <c r="A44" i="4" s="1"/>
  <c r="A45" i="4" s="1"/>
  <c r="A46" i="4" s="1"/>
  <c r="A47" i="4" s="1"/>
  <c r="A48" i="4" s="1"/>
  <c r="A49" i="4" s="1"/>
  <c r="A50" i="4" s="1"/>
  <c r="A51" i="4" s="1"/>
  <c r="A52" i="4" s="1"/>
  <c r="A53" i="4" s="1"/>
  <c r="A54" i="4" s="1"/>
  <c r="A55" i="4" s="1"/>
  <c r="A56" i="4" s="1"/>
  <c r="A57" i="4" s="1"/>
  <c r="A4" i="4"/>
  <c r="A5" i="4"/>
  <c r="A6" i="4" s="1"/>
  <c r="A7" i="4" s="1"/>
  <c r="A8" i="4" s="1"/>
  <c r="A9" i="4" s="1"/>
  <c r="A10" i="4" s="1"/>
  <c r="A11" i="4" s="1"/>
  <c r="A12" i="4" s="1"/>
  <c r="A13" i="4" s="1"/>
  <c r="A14" i="4" s="1"/>
  <c r="A15" i="4" s="1"/>
  <c r="A16" i="4" s="1"/>
  <c r="A202" i="4"/>
  <c r="A203" i="4" s="1"/>
  <c r="A204" i="4" s="1"/>
  <c r="A205" i="4" s="1"/>
  <c r="A206" i="4" s="1"/>
  <c r="A207" i="4" s="1"/>
  <c r="A208" i="4" s="1"/>
  <c r="A209" i="4" s="1"/>
  <c r="A210" i="4" s="1"/>
  <c r="A211" i="4" s="1"/>
  <c r="A212" i="4" s="1"/>
  <c r="A213" i="4" s="1"/>
  <c r="A214" i="4" s="1"/>
  <c r="A215" i="4" s="1"/>
  <c r="A216" i="4" s="1"/>
  <c r="A217" i="4" s="1"/>
  <c r="A218" i="4" s="1"/>
  <c r="A219" i="4" s="1"/>
  <c r="A184" i="4"/>
  <c r="A185" i="4" s="1"/>
  <c r="A186" i="4" s="1"/>
  <c r="A187" i="4" s="1"/>
  <c r="A188" i="4" s="1"/>
  <c r="A189" i="4" s="1"/>
  <c r="A190" i="4" s="1"/>
  <c r="A191" i="4" s="1"/>
  <c r="A192" i="4" s="1"/>
  <c r="A193" i="4" s="1"/>
  <c r="A194" i="4" s="1"/>
  <c r="A195" i="4" s="1"/>
  <c r="A196" i="4" s="1"/>
  <c r="A197" i="4" s="1"/>
  <c r="A198" i="4" s="1"/>
  <c r="A199" i="4" s="1"/>
  <c r="A200" i="4" s="1"/>
  <c r="A201" i="4" s="1"/>
  <c r="A166" i="4"/>
  <c r="A167" i="4" s="1"/>
  <c r="A168" i="4" s="1"/>
  <c r="A169" i="4" s="1"/>
  <c r="A170" i="4" s="1"/>
  <c r="A171" i="4" s="1"/>
  <c r="A172" i="4" s="1"/>
  <c r="A173" i="4" s="1"/>
  <c r="A174" i="4" s="1"/>
  <c r="A175" i="4" s="1"/>
  <c r="A176" i="4" s="1"/>
  <c r="A177" i="4" s="1"/>
  <c r="A178" i="4" s="1"/>
  <c r="A179" i="4" s="1"/>
  <c r="A180" i="4" s="1"/>
  <c r="A181" i="4" s="1"/>
  <c r="A182" i="4" s="1"/>
  <c r="A183" i="4" s="1"/>
  <c r="A17" i="4"/>
  <c r="A18" i="4" s="1"/>
  <c r="A19" i="4" s="1"/>
  <c r="A20" i="4" s="1"/>
  <c r="A21" i="4" s="1"/>
  <c r="A165" i="4"/>
  <c r="B5" i="4"/>
  <c r="B6" i="4" s="1"/>
  <c r="B7" i="4" s="1"/>
  <c r="B8" i="4" s="1"/>
  <c r="B9" i="4" s="1"/>
  <c r="B10" i="4" s="1"/>
  <c r="B11" i="4" s="1"/>
  <c r="B12" i="4" s="1"/>
  <c r="B13" i="4" s="1"/>
  <c r="B14" i="4" s="1"/>
  <c r="B15" i="4" s="1"/>
  <c r="B16" i="4" s="1"/>
  <c r="B17" i="4" s="1"/>
  <c r="B18" i="4" s="1"/>
  <c r="B19" i="4" s="1"/>
  <c r="B20" i="4" s="1"/>
  <c r="B21" i="4" s="1"/>
  <c r="B22" i="4" s="1"/>
  <c r="B23" i="4" s="1"/>
  <c r="B24" i="4" s="1"/>
  <c r="B25" i="4" s="1"/>
  <c r="B26" i="4" s="1"/>
  <c r="B27" i="4" s="1"/>
  <c r="B28" i="4" s="1"/>
  <c r="B29" i="4" s="1"/>
  <c r="B30" i="4" s="1"/>
  <c r="B31" i="4" s="1"/>
  <c r="B32" i="4" s="1"/>
  <c r="B33" i="4" s="1"/>
  <c r="B34" i="4" s="1"/>
  <c r="B35" i="4" s="1"/>
  <c r="B36" i="4" s="1"/>
  <c r="B37" i="4" s="1"/>
  <c r="B38" i="4" s="1"/>
  <c r="B39" i="4" s="1"/>
  <c r="B40" i="4" s="1"/>
  <c r="B41" i="4" s="1"/>
  <c r="B42" i="4" s="1"/>
  <c r="B43" i="4" s="1"/>
  <c r="B44" i="4" s="1"/>
  <c r="B45" i="4" s="1"/>
  <c r="B46" i="4" s="1"/>
  <c r="B47" i="4" s="1"/>
  <c r="B48" i="4" s="1"/>
  <c r="B49" i="4" s="1"/>
  <c r="B50" i="4" s="1"/>
  <c r="B51" i="4" s="1"/>
  <c r="B52" i="4" s="1"/>
  <c r="B53" i="4" s="1"/>
  <c r="B54" i="4" s="1"/>
  <c r="B55" i="4" s="1"/>
  <c r="B56" i="4" s="1"/>
  <c r="B57" i="4" s="1"/>
  <c r="B58" i="4" s="1"/>
  <c r="B59" i="4" s="1"/>
  <c r="B60" i="4" s="1"/>
  <c r="B61" i="4" s="1"/>
  <c r="B62" i="4" s="1"/>
  <c r="B63" i="4" s="1"/>
  <c r="B64" i="4" s="1"/>
  <c r="B65" i="4" s="1"/>
  <c r="B66" i="4" s="1"/>
  <c r="B67" i="4" s="1"/>
  <c r="B68" i="4" s="1"/>
  <c r="B69" i="4" s="1"/>
  <c r="B70" i="4" s="1"/>
  <c r="B71" i="4" s="1"/>
  <c r="B72" i="4" s="1"/>
  <c r="B73" i="4" s="1"/>
  <c r="B74" i="4" s="1"/>
  <c r="B75" i="4" s="1"/>
  <c r="B76" i="4" s="1"/>
  <c r="B77" i="4" s="1"/>
  <c r="B78" i="4" s="1"/>
  <c r="B79" i="4" s="1"/>
  <c r="B80" i="4" s="1"/>
  <c r="B81" i="4" s="1"/>
  <c r="B82" i="4" s="1"/>
  <c r="B83" i="4" s="1"/>
  <c r="B84" i="4" s="1"/>
  <c r="B85" i="4" s="1"/>
  <c r="B86" i="4" s="1"/>
  <c r="B87" i="4" s="1"/>
  <c r="B88" i="4" s="1"/>
  <c r="B89" i="4" s="1"/>
  <c r="B90" i="4" s="1"/>
  <c r="B91" i="4" s="1"/>
  <c r="B92" i="4" s="1"/>
  <c r="B93" i="4" s="1"/>
  <c r="B94" i="4" s="1"/>
  <c r="B95" i="4" s="1"/>
  <c r="B96" i="4" s="1"/>
  <c r="B97" i="4" s="1"/>
  <c r="B98" i="4" s="1"/>
  <c r="B99" i="4" s="1"/>
  <c r="B100" i="4" s="1"/>
  <c r="B101" i="4" s="1"/>
  <c r="B102" i="4" s="1"/>
  <c r="B103" i="4" s="1"/>
  <c r="B104" i="4" s="1"/>
  <c r="B105" i="4" s="1"/>
  <c r="B106" i="4" s="1"/>
  <c r="B107" i="4" s="1"/>
  <c r="B108" i="4" s="1"/>
  <c r="B109" i="4" s="1"/>
  <c r="B110" i="4" s="1"/>
  <c r="B111" i="4" s="1"/>
  <c r="B112" i="4" s="1"/>
  <c r="B113" i="4" s="1"/>
  <c r="B114" i="4" s="1"/>
  <c r="B115" i="4" s="1"/>
  <c r="B116" i="4" s="1"/>
  <c r="B117" i="4" s="1"/>
  <c r="B118" i="4" s="1"/>
  <c r="B119" i="4" s="1"/>
  <c r="B120" i="4" s="1"/>
  <c r="B121" i="4" s="1"/>
  <c r="B122" i="4" s="1"/>
  <c r="B123" i="4" s="1"/>
  <c r="B124" i="4" s="1"/>
  <c r="B125" i="4" s="1"/>
  <c r="B126" i="4" s="1"/>
  <c r="B127" i="4" s="1"/>
  <c r="B128" i="4" s="1"/>
  <c r="B129" i="4" s="1"/>
  <c r="B130" i="4" s="1"/>
  <c r="B131" i="4" s="1"/>
  <c r="B132" i="4" s="1"/>
  <c r="B133" i="4" s="1"/>
  <c r="B134" i="4" s="1"/>
  <c r="B135" i="4" s="1"/>
  <c r="B136" i="4" s="1"/>
  <c r="B137" i="4" s="1"/>
  <c r="B138" i="4" s="1"/>
  <c r="B139" i="4" s="1"/>
  <c r="B140" i="4" s="1"/>
  <c r="B141" i="4" s="1"/>
  <c r="B142" i="4" s="1"/>
  <c r="B143" i="4" s="1"/>
  <c r="B144" i="4" s="1"/>
  <c r="B145" i="4" s="1"/>
  <c r="B146" i="4" s="1"/>
  <c r="B147" i="4" s="1"/>
  <c r="B148" i="4" s="1"/>
  <c r="B149" i="4" s="1"/>
  <c r="B150" i="4" s="1"/>
  <c r="B151" i="4" s="1"/>
  <c r="B152" i="4" s="1"/>
  <c r="B153" i="4" s="1"/>
  <c r="B154" i="4" s="1"/>
  <c r="B155" i="4" s="1"/>
  <c r="B156" i="4" s="1"/>
  <c r="B157" i="4" s="1"/>
  <c r="B158" i="4" s="1"/>
  <c r="B159" i="4" s="1"/>
  <c r="B160" i="4" s="1"/>
  <c r="B161" i="4" s="1"/>
  <c r="B162" i="4" s="1"/>
  <c r="B163" i="4" s="1"/>
  <c r="B164" i="4" s="1"/>
  <c r="B165" i="4" s="1"/>
  <c r="B166" i="4" s="1"/>
  <c r="B167" i="4" s="1"/>
  <c r="B168" i="4" s="1"/>
  <c r="B169" i="4" s="1"/>
  <c r="B170" i="4" s="1"/>
  <c r="B171" i="4" s="1"/>
  <c r="B172" i="4" s="1"/>
  <c r="B173" i="4" s="1"/>
  <c r="B174" i="4" s="1"/>
  <c r="B175" i="4" s="1"/>
  <c r="B176" i="4" s="1"/>
  <c r="B177" i="4" s="1"/>
  <c r="B178" i="4" s="1"/>
  <c r="B179" i="4" s="1"/>
  <c r="B180" i="4" s="1"/>
  <c r="B181" i="4" s="1"/>
  <c r="B182" i="4" s="1"/>
  <c r="B183" i="4" s="1"/>
  <c r="B184" i="4" s="1"/>
  <c r="B185" i="4" s="1"/>
  <c r="B186" i="4" s="1"/>
  <c r="B187" i="4" s="1"/>
  <c r="B188" i="4" s="1"/>
  <c r="B189" i="4" s="1"/>
  <c r="B190" i="4" s="1"/>
  <c r="B191" i="4" s="1"/>
  <c r="B192" i="4" s="1"/>
  <c r="B193" i="4" s="1"/>
  <c r="B194" i="4" s="1"/>
  <c r="B195" i="4" s="1"/>
  <c r="B196" i="4" s="1"/>
  <c r="B197" i="4" s="1"/>
  <c r="B198" i="4" s="1"/>
  <c r="B199" i="4" s="1"/>
  <c r="B200" i="4" s="1"/>
  <c r="B201" i="4" s="1"/>
  <c r="B202" i="4" s="1"/>
  <c r="B203" i="4" s="1"/>
  <c r="B204" i="4" s="1"/>
  <c r="B205" i="4" s="1"/>
  <c r="B206" i="4" s="1"/>
  <c r="B207" i="4" s="1"/>
  <c r="B208" i="4" s="1"/>
  <c r="B209" i="4" s="1"/>
  <c r="B210" i="4" s="1"/>
  <c r="B211" i="4" s="1"/>
  <c r="B212" i="4" s="1"/>
  <c r="B213" i="4" s="1"/>
  <c r="B214" i="4" s="1"/>
  <c r="B215" i="4" s="1"/>
  <c r="B216" i="4" s="1"/>
  <c r="B217" i="4" s="1"/>
  <c r="B218" i="4" s="1"/>
  <c r="B219" i="4" s="1"/>
  <c r="AM9" i="4"/>
  <c r="AL10" i="4"/>
  <c r="AL9" i="4"/>
  <c r="AM8" i="4"/>
  <c r="AL15" i="4"/>
  <c r="AM7" i="4"/>
  <c r="AL8" i="4"/>
  <c r="AM13" i="4"/>
  <c r="AM6" i="4"/>
  <c r="AL5" i="4"/>
  <c r="AL11" i="4"/>
  <c r="AM12" i="4"/>
  <c r="AL13" i="4"/>
  <c r="AL7" i="4"/>
  <c r="AM10" i="4"/>
  <c r="AM5" i="4"/>
  <c r="AM4" i="4"/>
  <c r="AM15" i="4"/>
  <c r="AM11" i="4"/>
  <c r="AL6" i="4"/>
  <c r="AL12" i="4"/>
  <c r="AL4" i="4"/>
  <c r="AM14" i="4"/>
  <c r="AL14" i="4"/>
  <c r="AB14" i="4" l="1"/>
  <c r="AD10" i="4"/>
  <c r="AB10" i="4"/>
  <c r="AB5" i="4"/>
  <c r="AB11" i="4"/>
  <c r="AB9" i="4"/>
  <c r="AB8" i="4"/>
  <c r="AE10" i="4" l="1"/>
  <c r="AC26" i="4"/>
  <c r="AD8" i="4"/>
  <c r="AC24" i="4" s="1"/>
  <c r="AB13" i="4"/>
  <c r="AB6" i="4"/>
  <c r="AD14" i="4"/>
  <c r="AC30" i="4" s="1"/>
  <c r="AD6" i="4"/>
  <c r="AD15" i="4"/>
  <c r="AD4" i="4"/>
  <c r="AB12" i="4"/>
  <c r="AD9" i="4"/>
  <c r="AC25" i="4" s="1"/>
  <c r="AB4" i="4"/>
  <c r="AB15" i="4"/>
  <c r="AD13" i="4"/>
  <c r="AD12" i="4"/>
  <c r="AB7" i="4"/>
  <c r="AD5" i="4"/>
  <c r="AC21" i="4" s="1"/>
  <c r="AD11" i="4"/>
  <c r="AE11" i="4" s="1"/>
  <c r="AD7" i="4"/>
  <c r="AE14" i="4" l="1"/>
  <c r="AE9" i="4"/>
  <c r="AE4" i="4"/>
  <c r="AE5" i="4"/>
  <c r="AE15" i="4"/>
  <c r="AC31" i="4"/>
  <c r="AC28" i="4"/>
  <c r="AE12" i="4"/>
  <c r="AE8" i="4"/>
  <c r="AE6" i="4"/>
  <c r="AC22" i="4"/>
  <c r="AC23" i="4"/>
  <c r="AE7" i="4"/>
  <c r="AC29" i="4"/>
  <c r="AE13" i="4"/>
  <c r="AC27"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Ben Roth</author>
    <author>Eric White</author>
  </authors>
  <commentList>
    <comment ref="F2" authorId="0" shapeId="0" xr:uid="{54F30262-1717-43A3-A6AA-9E9396958C61}">
      <text>
        <r>
          <rPr>
            <sz val="9"/>
            <color indexed="81"/>
            <rFont val="Tahoma"/>
            <family val="2"/>
          </rPr>
          <t xml:space="preserve">The data in this workbook is sorted, first by month (ascending) then by spatial average rainfall (descending). Subsequent calculations require this ordering to be retained.
</t>
        </r>
      </text>
    </comment>
    <comment ref="L2" authorId="0" shapeId="0" xr:uid="{C41D7D47-AE96-4782-AAF9-478B80DE117B}">
      <text>
        <r>
          <rPr>
            <sz val="9"/>
            <color indexed="81"/>
            <rFont val="Tahoma"/>
            <family val="2"/>
          </rPr>
          <t>This value can be adjusted to vary the thresholds for Wet and Dry.</t>
        </r>
      </text>
    </comment>
    <comment ref="N2" authorId="0" shapeId="0" xr:uid="{36999E1B-D57D-4D0B-8456-4D108288FDE2}">
      <text>
        <r>
          <rPr>
            <sz val="9"/>
            <color indexed="81"/>
            <rFont val="Tahoma"/>
            <family val="2"/>
          </rPr>
          <t>This table is a count of the WDA Calcs using the Mean of the spatial averages for each month. This approach is not being used for the final assessment (rather the median values are being used instead of mean). The table was retained for comparison.</t>
        </r>
        <r>
          <rPr>
            <b/>
            <sz val="9"/>
            <color indexed="81"/>
            <rFont val="Tahoma"/>
            <family val="2"/>
          </rPr>
          <t xml:space="preserve"> </t>
        </r>
      </text>
    </comment>
    <comment ref="AA2" authorId="0" shapeId="0" xr:uid="{C29E8D7F-7B7A-42D5-9DAB-3D7D87B09243}">
      <text>
        <r>
          <rPr>
            <sz val="9"/>
            <color indexed="81"/>
            <rFont val="Tahoma"/>
            <family val="2"/>
          </rPr>
          <t>For the AORC dataset, 1979 includes Feb to Dec. All other years cover 12 months. Therefore January has an odd number of values (45 years), which results in a true Median value. The remaining months each have 46 years of data; when the rainfall values are sorted from largest to smallest, the Median calculated for these months is the summation of the 23rd and 24th values divided by two. 
This table looks at the upper and lower values prior to the Median calculation. The upper and lower values are used to assess the range within the Median calculation. Ultimately, this range is not used for any subsequent logic in calculations.</t>
        </r>
      </text>
    </comment>
    <comment ref="F3" authorId="0" shapeId="0" xr:uid="{22EE7A0B-AB55-47BF-AEE3-6B9D122A10FC}">
      <text>
        <r>
          <rPr>
            <sz val="9"/>
            <color indexed="81"/>
            <rFont val="Tahoma"/>
            <family val="2"/>
          </rPr>
          <t xml:space="preserve">The </t>
        </r>
        <r>
          <rPr>
            <b/>
            <sz val="9"/>
            <color indexed="81"/>
            <rFont val="Tahoma"/>
            <family val="2"/>
          </rPr>
          <t>mean_nans</t>
        </r>
        <r>
          <rPr>
            <sz val="9"/>
            <color indexed="81"/>
            <rFont val="Tahoma"/>
            <family val="2"/>
          </rPr>
          <t xml:space="preserve"> column reflects the spatial average from the Louisiana coastal zone where NaN values in the AORC dataset are </t>
        </r>
        <r>
          <rPr>
            <b/>
            <sz val="9"/>
            <color indexed="81"/>
            <rFont val="Tahoma"/>
            <family val="2"/>
          </rPr>
          <t>NOT</t>
        </r>
        <r>
          <rPr>
            <sz val="9"/>
            <color indexed="81"/>
            <rFont val="Tahoma"/>
            <family val="2"/>
          </rPr>
          <t xml:space="preserve"> converted to zero. 
However, zero values do exist in this dataset where rainfall is not detected/reported for a given hour. 
</t>
        </r>
        <r>
          <rPr>
            <u/>
            <sz val="9"/>
            <color indexed="81"/>
            <rFont val="Tahoma"/>
            <family val="2"/>
          </rPr>
          <t>Redundant but possibly helpful</t>
        </r>
        <r>
          <rPr>
            <sz val="9"/>
            <color indexed="81"/>
            <rFont val="Tahoma"/>
            <family val="2"/>
          </rPr>
          <t>:
This column presents spatial average calculations where coastal zone subset has not been diluted artificially by the presence of the NaN masking implemented for the AORC dataset where no data are available (e.g. offshore in the Gulf).</t>
        </r>
      </text>
    </comment>
    <comment ref="N17" authorId="1" shapeId="0" xr:uid="{F0CDB2B3-741B-4195-9A66-2C0301FEA117}">
      <text>
        <r>
          <rPr>
            <b/>
            <sz val="9"/>
            <color indexed="81"/>
            <rFont val="Tahoma"/>
            <family val="2"/>
          </rPr>
          <t>Eric White:</t>
        </r>
        <r>
          <rPr>
            <sz val="9"/>
            <color indexed="81"/>
            <rFont val="Tahoma"/>
            <family val="2"/>
          </rPr>
          <t xml:space="preserve">
This table is a count of the WDA Calcs using the Median of the spatial averages for each month.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Ben Roth</author>
  </authors>
  <commentList>
    <comment ref="F2" authorId="0" shapeId="0" xr:uid="{272322AD-DA3A-40C0-8CCC-24BFBE311E36}">
      <text>
        <r>
          <rPr>
            <sz val="9"/>
            <color indexed="81"/>
            <rFont val="Tahoma"/>
            <family val="2"/>
          </rPr>
          <t xml:space="preserve">These values are the result of multiple calculation steps. As a reminder, the overall dataset spans 1979 through 2024 and the AORC extent is the CONUS region. The following descriptions step through the process of reducing this larger dataset down to the values in this worksheet:
1) Monthly rainfall accumulation for all grid points within the coastal zone (many values across a lat/long grid for a single month in a single year)
2) Spatial averaging across the coastal zone subset area (a single value for a single month in a single year, 12 x 46 values)
3a) Median calculation for each month across the time period from 1979 to 2024 (single value for a single month for all years, 12 values)
3b) St. Dev. calculation for each month across the time period from 1979 to 2024 (single value for a single month for all years, 12 values)
3c) Median +/- St. Dev. calculation for each month across the time period from 1979 to 2024 (single value for a single month for all years, 24 values) 
**Step 3c yields the Wet and Dry thresholds. Note that there is a multiplier applied to the St.Dev. value that is added/subtracted from the median. This value is documented in the </t>
        </r>
        <r>
          <rPr>
            <b/>
            <sz val="9"/>
            <color indexed="81"/>
            <rFont val="Tahoma"/>
            <family val="2"/>
          </rPr>
          <t>Wet-Dry Months</t>
        </r>
        <r>
          <rPr>
            <sz val="9"/>
            <color indexed="81"/>
            <rFont val="Tahoma"/>
            <family val="2"/>
          </rPr>
          <t xml:space="preserve"> worksheet in this workbook**
4) Finally, the table presented here is the average of all designated Wet, Dry, and Average values within a particular month across the entire 46 year POR for the AORC dataset.</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<sst xmlns="http://schemas.openxmlformats.org/spreadsheetml/2006/main" count="96" uniqueCount="55">
  <si>
    <t>F</t>
  </si>
  <si>
    <t>Sorted by 1</t>
  </si>
  <si>
    <t>Sorted by 2</t>
  </si>
  <si>
    <t>StDev +/-</t>
  </si>
  <si>
    <t>Summary (using Mean)</t>
  </si>
  <si>
    <t>Month</t>
  </si>
  <si>
    <t>Max</t>
  </si>
  <si>
    <t>Year</t>
  </si>
  <si>
    <t>Min</t>
  </si>
  <si>
    <t>Median</t>
  </si>
  <si>
    <t>Ref</t>
  </si>
  <si>
    <t>Average</t>
  </si>
  <si>
    <t>Year 
Just Below</t>
  </si>
  <si>
    <t>Year 
Just Above</t>
  </si>
  <si>
    <t>St Dev</t>
  </si>
  <si>
    <t xml:space="preserve">Median </t>
  </si>
  <si>
    <t>month count</t>
  </si>
  <si>
    <t>cumu count</t>
  </si>
  <si>
    <t>time</t>
  </si>
  <si>
    <t>month</t>
  </si>
  <si>
    <t>mean</t>
  </si>
  <si>
    <t>mean_nans</t>
  </si>
  <si>
    <t>year</t>
  </si>
  <si>
    <t>WDA - AVG</t>
  </si>
  <si>
    <t>WDA - MEDIAN</t>
  </si>
  <si>
    <t>Wet</t>
  </si>
  <si>
    <t>Avg</t>
  </si>
  <si>
    <t>Dry</t>
  </si>
  <si>
    <t>Total</t>
  </si>
  <si>
    <t>Cumulative</t>
  </si>
  <si>
    <t>High R23</t>
  </si>
  <si>
    <t>Low R24</t>
  </si>
  <si>
    <t>Low</t>
  </si>
  <si>
    <t>High</t>
  </si>
  <si>
    <t>Summary (using Median)</t>
  </si>
  <si>
    <t>Range</t>
  </si>
  <si>
    <t>--</t>
  </si>
  <si>
    <t>StDev</t>
  </si>
  <si>
    <t>Summary</t>
  </si>
  <si>
    <t>'Wet-Dry Months'!</t>
  </si>
  <si>
    <t>Representative Monthly Values</t>
  </si>
  <si>
    <t>Date of Corresponding Representative Rainfall</t>
  </si>
  <si>
    <t>Finding the monthly WDA values just above and just below the long-term average (i.e. climate normals for the AORC dataset over the coastal zone region). Then, calculate a departure from normal (DFN) to assess which value is closest and thus represents the most average of each of the three conditions.</t>
  </si>
  <si>
    <t>Value just below avg conditions …</t>
  </si>
  <si>
    <t>Value just below avg conditions … (DFN)</t>
  </si>
  <si>
    <t>Value just above avg conditions …</t>
  </si>
  <si>
    <t>Value just above avg conditions … (DFN)</t>
  </si>
  <si>
    <t>Ref (from 'Wet-Dry Months' Ref section)</t>
  </si>
  <si>
    <t>Monthly Conditions Averages (2006 through 2024)</t>
  </si>
  <si>
    <t>Mean of avg Januarys = 106.17 mm , therefore Jan 2011 is the closest and therefore is our "representativly avg January" with 105.13</t>
  </si>
  <si>
    <t>Mean of dry Januarys = 68.63 mm , therefore Jan 2022 is the closest and therefore is our "representativly dry January" with a rainfall depth of 63.55 mm</t>
  </si>
  <si>
    <t>Wet-rep</t>
  </si>
  <si>
    <t>Avg-rep</t>
  </si>
  <si>
    <t>Dry-rep</t>
  </si>
  <si>
    <t>Mean of wet Januarys = 161.64 mm , therefore Jan 2017 is the closest and therefore is our "representativly wet January" with a rainfall depth of 164.38 mm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</si>
</sst>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mmm\-yy;@"/>
  </numFmts>
  <fonts count="23"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9"/>
      <color indexed="81"/>
      <name val="Tahoma"/>
      <family val="2"/>
    </font>
    <font>
      <b/>
      <sz val="9"/>
      <color indexed="81"/>
      <name val="Tahoma"/>
      <family val="2"/>
    </font>
    <font>
      <u/>
      <sz val="9"/>
      <color indexed="81"/>
      <name val="Tahoma"/>
      <family val="2"/>
    </font>
    <font>
      <i/>
      <sz val="11"/>
      <color theme="1"/>
      <name val="Aptos Narrow"/>
      <family val="2"/>
      <scheme val="minor"/>
    </font>
    <font>
      <i/>
      <sz val="10"/>
      <color theme="1"/>
      <name val="Aptos Narrow"/>
      <family val="2"/>
      <scheme val="minor"/>
    </font>
  </fonts>
  <fills count="4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249977111117893"/>
        <bgColor indexed="64"/>
      </patternFill>
    </fill>
    <fill>
      <patternFill patternType="solid">
        <fgColor theme="7" tint="0.39997558519241921"/>
        <bgColor indexed="64"/>
      </patternFill>
    </fill>
    <fill>
      <patternFill patternType="solid">
        <fgColor theme="1"/>
        <bgColor indexed="64"/>
      </patternFill>
    </fill>
    <fill>
      <patternFill patternType="solid">
        <fgColor theme="9" tint="0.39997558519241921"/>
        <bgColor indexed="64"/>
      </patternFill>
    </fill>
    <fill>
      <patternFill patternType="solid">
        <fgColor theme="6" tint="0.79998168889431442"/>
        <bgColor indexed="64"/>
      </patternFill>
    </fill>
    <fill>
      <patternFill patternType="solid">
        <fgColor theme="5" tint="-0.249977111117893"/>
        <bgColor indexed="64"/>
      </patternFill>
    </fill>
    <fill>
      <patternFill patternType="solid">
        <fgColor rgb="FFFFFF00"/>
        <bgColor indexed="64"/>
      </patternFill>
    </fill>
    <fill>
      <patternFill patternType="solid">
        <fgColor theme="8" tint="0.79998168889431442"/>
        <bgColor indexed="64"/>
      </patternFill>
    </fill>
    <fill>
      <patternFill patternType="solid">
        <fgColor rgb="FF00B0F0"/>
        <bgColor indexed="64"/>
      </patternFill>
    </fill>
    <fill>
      <patternFill patternType="solid">
        <fgColor theme="9" tint="0.79998168889431442"/>
        <bgColor indexed="64"/>
      </patternFill>
    </fill>
  </fills>
  <borders count="3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top style="medium">
        <color indexed="64"/>
      </top>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6">
    <xf numFmtId="0" fontId="0" fillId="0" borderId="0" xfId="0"/>
    <xf numFmtId="164" fontId="0" fillId="0" borderId="10" xfId="0" applyNumberFormat="1" applyBorder="1"/>
    <xf numFmtId="0" fontId="0" fillId="0" borderId="10" xfId="0" applyBorder="1"/>
    <xf numFmtId="2" fontId="0" fillId="0" borderId="10" xfId="0" applyNumberFormat="1" applyBorder="1"/>
    <xf numFmtId="164" fontId="0" fillId="0" borderId="0" xfId="0" applyNumberFormat="1"/>
    <xf numFmtId="2" fontId="0" fillId="0" borderId="0" xfId="0" applyNumberFormat="1"/>
    <xf numFmtId="0" fontId="16" fillId="0" borderId="0" xfId="0" applyFont="1" applyAlignment="1">
      <alignment horizontal="center" vertical="center"/>
    </xf>
    <xf numFmtId="0" fontId="0" fillId="34" borderId="0" xfId="0" applyFill="1"/>
    <xf numFmtId="0" fontId="16" fillId="35" borderId="10" xfId="0" applyFont="1" applyFill="1" applyBorder="1" applyAlignment="1">
      <alignment horizontal="center" vertical="center"/>
    </xf>
    <xf numFmtId="0" fontId="16" fillId="0" borderId="10" xfId="0" applyFont="1" applyBorder="1"/>
    <xf numFmtId="0" fontId="0" fillId="0" borderId="10" xfId="0" applyBorder="1" applyAlignment="1">
      <alignment vertical="center"/>
    </xf>
    <xf numFmtId="2" fontId="0" fillId="0" borderId="10" xfId="0" applyNumberFormat="1" applyBorder="1" applyAlignment="1">
      <alignment vertical="center"/>
    </xf>
    <xf numFmtId="0" fontId="0" fillId="35" borderId="10" xfId="0" applyFill="1" applyBorder="1" applyAlignment="1">
      <alignment vertical="center"/>
    </xf>
    <xf numFmtId="0" fontId="0" fillId="33" borderId="10" xfId="0" quotePrefix="1" applyFill="1" applyBorder="1" applyAlignment="1">
      <alignment horizontal="center" vertical="center"/>
    </xf>
    <xf numFmtId="2" fontId="0" fillId="0" borderId="10" xfId="0" applyNumberFormat="1" applyBorder="1" applyAlignment="1">
      <alignment horizontal="center" vertical="center"/>
    </xf>
    <xf numFmtId="0" fontId="0" fillId="0" borderId="10" xfId="0" applyBorder="1" applyAlignment="1">
      <alignment horizontal="center" vertical="center"/>
    </xf>
    <xf numFmtId="0" fontId="0" fillId="36" borderId="0" xfId="0" applyFill="1"/>
    <xf numFmtId="0" fontId="0" fillId="0" borderId="10" xfId="0" applyBorder="1" applyAlignment="1">
      <alignment horizontal="center"/>
    </xf>
    <xf numFmtId="0" fontId="0" fillId="38" borderId="10" xfId="0" applyFill="1" applyBorder="1"/>
    <xf numFmtId="164" fontId="0" fillId="38" borderId="10" xfId="0" applyNumberFormat="1" applyFill="1" applyBorder="1"/>
    <xf numFmtId="2" fontId="0" fillId="38" borderId="10" xfId="0" applyNumberFormat="1" applyFill="1" applyBorder="1"/>
    <xf numFmtId="0" fontId="0" fillId="0" borderId="0" xfId="0" quotePrefix="1"/>
    <xf numFmtId="2" fontId="0" fillId="0" borderId="10" xfId="0" applyNumberFormat="1" applyBorder="1" applyAlignment="1">
      <alignment horizontal="right" vertical="center"/>
    </xf>
    <xf numFmtId="0" fontId="16" fillId="33" borderId="10" xfId="0" applyFont="1" applyFill="1" applyBorder="1" applyAlignment="1">
      <alignment horizontal="center" vertical="center"/>
    </xf>
    <xf numFmtId="0" fontId="16" fillId="33" borderId="10" xfId="0" applyFont="1" applyFill="1" applyBorder="1" applyAlignment="1">
      <alignment horizontal="center"/>
    </xf>
    <xf numFmtId="0" fontId="0" fillId="33" borderId="10" xfId="0" applyFill="1" applyBorder="1" applyAlignment="1">
      <alignment vertical="center"/>
    </xf>
    <xf numFmtId="0" fontId="0" fillId="33" borderId="10" xfId="0" applyFill="1" applyBorder="1"/>
    <xf numFmtId="0" fontId="0" fillId="39" borderId="0" xfId="0" applyFill="1"/>
    <xf numFmtId="2" fontId="0" fillId="40" borderId="10" xfId="0" quotePrefix="1" applyNumberFormat="1" applyFill="1" applyBorder="1" applyAlignment="1">
      <alignment horizontal="center" vertical="center"/>
    </xf>
    <xf numFmtId="0" fontId="21" fillId="37" borderId="0" xfId="0" applyFont="1" applyFill="1"/>
    <xf numFmtId="0" fontId="21" fillId="38" borderId="0" xfId="0" applyFont="1" applyFill="1"/>
    <xf numFmtId="0" fontId="16" fillId="0" borderId="24" xfId="0" applyFont="1" applyBorder="1" applyAlignment="1">
      <alignment horizontal="center" vertical="center"/>
    </xf>
    <xf numFmtId="0" fontId="16" fillId="0" borderId="25" xfId="0" applyFont="1" applyBorder="1" applyAlignment="1">
      <alignment horizontal="center"/>
    </xf>
    <xf numFmtId="0" fontId="0" fillId="0" borderId="24" xfId="0" applyBorder="1" applyAlignment="1">
      <alignment vertical="center"/>
    </xf>
    <xf numFmtId="0" fontId="0" fillId="0" borderId="25" xfId="0" applyBorder="1"/>
    <xf numFmtId="0" fontId="0" fillId="0" borderId="26" xfId="0" applyBorder="1" applyAlignment="1">
      <alignment vertical="center"/>
    </xf>
    <xf numFmtId="0" fontId="0" fillId="0" borderId="27" xfId="0" applyBorder="1"/>
    <xf numFmtId="0" fontId="0" fillId="0" borderId="27" xfId="0" applyBorder="1" applyAlignment="1">
      <alignment vertical="center"/>
    </xf>
    <xf numFmtId="0" fontId="0" fillId="0" borderId="29" xfId="0" applyBorder="1"/>
    <xf numFmtId="0" fontId="0" fillId="35" borderId="22" xfId="0" applyFill="1" applyBorder="1"/>
    <xf numFmtId="0" fontId="0" fillId="35" borderId="28" xfId="0" applyFill="1" applyBorder="1"/>
    <xf numFmtId="0" fontId="0" fillId="35" borderId="0" xfId="0" applyFill="1"/>
    <xf numFmtId="0" fontId="21" fillId="0" borderId="0" xfId="0" applyFont="1"/>
    <xf numFmtId="2" fontId="0" fillId="0" borderId="27" xfId="0" applyNumberFormat="1" applyBorder="1"/>
    <xf numFmtId="0" fontId="21" fillId="41" borderId="0" xfId="0" applyFont="1" applyFill="1"/>
    <xf numFmtId="0" fontId="16" fillId="0" borderId="10" xfId="0" applyFont="1" applyBorder="1" applyAlignment="1">
      <alignment horizontal="center" vertical="center"/>
    </xf>
    <xf numFmtId="0" fontId="16" fillId="0" borderId="10" xfId="0" applyFont="1" applyBorder="1" applyAlignment="1">
      <alignment horizontal="center"/>
    </xf>
    <xf numFmtId="0" fontId="0" fillId="0" borderId="0" xfId="0" applyAlignment="1">
      <alignment horizontal="center" vertical="center"/>
    </xf>
    <xf numFmtId="0" fontId="0" fillId="41" borderId="10" xfId="0" applyFill="1" applyBorder="1" applyAlignment="1">
      <alignment horizontal="right" vertical="center"/>
    </xf>
    <xf numFmtId="164" fontId="0" fillId="41" borderId="10" xfId="0" applyNumberFormat="1" applyFill="1" applyBorder="1" applyAlignment="1">
      <alignment horizontal="right" vertical="center"/>
    </xf>
    <xf numFmtId="0" fontId="0" fillId="0" borderId="10" xfId="0" applyBorder="1" applyAlignment="1">
      <alignment horizontal="right"/>
    </xf>
    <xf numFmtId="164" fontId="0" fillId="0" borderId="10" xfId="0" applyNumberFormat="1" applyBorder="1" applyAlignment="1">
      <alignment horizontal="right"/>
    </xf>
    <xf numFmtId="2" fontId="0" fillId="0" borderId="10" xfId="0" applyNumberFormat="1" applyBorder="1" applyAlignment="1">
      <alignment horizontal="right"/>
    </xf>
    <xf numFmtId="2" fontId="0" fillId="41" borderId="10" xfId="0" applyNumberFormat="1" applyFill="1" applyBorder="1" applyAlignment="1">
      <alignment horizontal="right" vertical="center"/>
    </xf>
    <xf numFmtId="0" fontId="0" fillId="42" borderId="10" xfId="0" applyFill="1" applyBorder="1"/>
    <xf numFmtId="164" fontId="0" fillId="42" borderId="10" xfId="0" applyNumberFormat="1" applyFill="1" applyBorder="1"/>
    <xf numFmtId="2" fontId="0" fillId="42" borderId="10" xfId="0" applyNumberFormat="1" applyFill="1" applyBorder="1"/>
    <xf numFmtId="0" fontId="16" fillId="33" borderId="11" xfId="0" applyFont="1" applyFill="1" applyBorder="1" applyAlignment="1">
      <alignment horizontal="center"/>
    </xf>
    <xf numFmtId="0" fontId="16" fillId="33" borderId="19" xfId="0" applyFont="1" applyFill="1" applyBorder="1" applyAlignment="1">
      <alignment horizontal="center"/>
    </xf>
    <xf numFmtId="0" fontId="16" fillId="33" borderId="12" xfId="0" applyFont="1" applyFill="1" applyBorder="1" applyAlignment="1">
      <alignment horizontal="center"/>
    </xf>
    <xf numFmtId="0" fontId="16" fillId="0" borderId="11" xfId="0" applyFont="1" applyBorder="1" applyAlignment="1">
      <alignment horizontal="center"/>
    </xf>
    <xf numFmtId="0" fontId="16" fillId="0" borderId="19" xfId="0" applyFont="1" applyBorder="1" applyAlignment="1">
      <alignment horizontal="center"/>
    </xf>
    <xf numFmtId="0" fontId="16" fillId="0" borderId="12" xfId="0" applyFont="1" applyBorder="1" applyAlignment="1">
      <alignment horizontal="center"/>
    </xf>
    <xf numFmtId="0" fontId="16" fillId="0" borderId="10" xfId="0" applyFont="1" applyBorder="1" applyAlignment="1">
      <alignment horizontal="center" vertical="center"/>
    </xf>
    <xf numFmtId="0" fontId="16" fillId="0" borderId="11" xfId="0" applyFont="1" applyBorder="1" applyAlignment="1">
      <alignment horizontal="center" vertical="center"/>
    </xf>
    <xf numFmtId="0" fontId="16" fillId="0" borderId="12" xfId="0" applyFont="1" applyBorder="1" applyAlignment="1">
      <alignment horizontal="center" vertical="center"/>
    </xf>
    <xf numFmtId="0" fontId="16" fillId="0" borderId="10" xfId="0" applyFont="1" applyBorder="1" applyAlignment="1">
      <alignment horizontal="center" vertical="center" wrapText="1"/>
    </xf>
    <xf numFmtId="0" fontId="16" fillId="0" borderId="14" xfId="0" applyFont="1" applyBorder="1" applyAlignment="1">
      <alignment horizontal="center" vertical="center"/>
    </xf>
    <xf numFmtId="0" fontId="16" fillId="0" borderId="15" xfId="0" applyFont="1" applyBorder="1" applyAlignment="1">
      <alignment horizontal="center" vertical="center"/>
    </xf>
    <xf numFmtId="0" fontId="16" fillId="0" borderId="16" xfId="0" applyFont="1" applyBorder="1" applyAlignment="1">
      <alignment horizontal="center" vertical="center"/>
    </xf>
    <xf numFmtId="0" fontId="16" fillId="0" borderId="17" xfId="0" applyFont="1" applyBorder="1" applyAlignment="1">
      <alignment horizontal="center" vertical="center"/>
    </xf>
    <xf numFmtId="0" fontId="16" fillId="0" borderId="13" xfId="0" applyFont="1" applyBorder="1" applyAlignment="1">
      <alignment horizontal="center" vertical="center"/>
    </xf>
    <xf numFmtId="0" fontId="16" fillId="0" borderId="18" xfId="0" applyFont="1" applyBorder="1" applyAlignment="1">
      <alignment horizontal="center" vertical="center"/>
    </xf>
    <xf numFmtId="0" fontId="16" fillId="0" borderId="21" xfId="0" applyFont="1" applyBorder="1" applyAlignment="1">
      <alignment horizontal="center"/>
    </xf>
    <xf numFmtId="0" fontId="16" fillId="0" borderId="23" xfId="0" applyFont="1" applyBorder="1" applyAlignment="1">
      <alignment horizontal="center"/>
    </xf>
    <xf numFmtId="0" fontId="16" fillId="0" borderId="10" xfId="0" applyFont="1" applyBorder="1" applyAlignment="1">
      <alignment horizontal="center"/>
    </xf>
    <xf numFmtId="0" fontId="16" fillId="0" borderId="20" xfId="0" applyFont="1" applyBorder="1" applyAlignment="1">
      <alignment horizontal="center"/>
    </xf>
    <xf numFmtId="0" fontId="22" fillId="0" borderId="30" xfId="0" applyFont="1" applyBorder="1" applyAlignment="1">
      <alignment horizontal="left" vertical="center" wrapText="1"/>
    </xf>
    <xf numFmtId="0" fontId="22" fillId="0" borderId="22" xfId="0" applyFont="1" applyBorder="1" applyAlignment="1">
      <alignment horizontal="left" vertical="center" wrapText="1"/>
    </xf>
    <xf numFmtId="0" fontId="22" fillId="0" borderId="31" xfId="0" applyFont="1" applyBorder="1" applyAlignment="1">
      <alignment horizontal="left" vertical="center" wrapText="1"/>
    </xf>
    <xf numFmtId="0" fontId="22" fillId="0" borderId="32" xfId="0" applyFont="1" applyBorder="1" applyAlignment="1">
      <alignment horizontal="left" vertical="center" wrapText="1"/>
    </xf>
    <xf numFmtId="0" fontId="22" fillId="0" borderId="0" xfId="0" applyFont="1" applyAlignment="1">
      <alignment horizontal="left" vertical="center" wrapText="1"/>
    </xf>
    <xf numFmtId="0" fontId="22" fillId="0" borderId="33" xfId="0" applyFont="1" applyBorder="1" applyAlignment="1">
      <alignment horizontal="left" vertical="center" wrapText="1"/>
    </xf>
    <xf numFmtId="0" fontId="22" fillId="0" borderId="34" xfId="0" applyFont="1" applyBorder="1" applyAlignment="1">
      <alignment horizontal="left" vertical="center" wrapText="1"/>
    </xf>
    <xf numFmtId="0" fontId="22" fillId="0" borderId="28" xfId="0" applyFont="1" applyBorder="1" applyAlignment="1">
      <alignment horizontal="left" vertical="center" wrapText="1"/>
    </xf>
    <xf numFmtId="0" fontId="22" fillId="0" borderId="35" xfId="0" applyFont="1" applyBorder="1" applyAlignment="1">
      <alignment horizontal="left" vertic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openxmlformats.org/officeDocument/2006/relationships/customXml" Target="../customXml/item3.xml"/><Relationship Id="rId4" Type="http://schemas.openxmlformats.org/officeDocument/2006/relationships/styles" Target="styles.xml"/><Relationship Id="rId9"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0" i="0" u="none" strike="noStrike" kern="1200" spc="0" baseline="0">
                <a:solidFill>
                  <a:schemeClr val="tx1"/>
                </a:solidFill>
                <a:latin typeface="Calibri" panose="020F0502020204030204" pitchFamily="34" charset="0"/>
                <a:ea typeface="Calibri" panose="020F0502020204030204" pitchFamily="34" charset="0"/>
                <a:cs typeface="Calibri" panose="020F0502020204030204" pitchFamily="34" charset="0"/>
              </a:defRPr>
            </a:pPr>
            <a:r>
              <a:rPr lang="en-US" sz="1800"/>
              <a:t>Average Monthly Rainfall by Wetness Class &amp; </a:t>
            </a:r>
          </a:p>
          <a:p>
            <a:pPr>
              <a:defRPr sz="1800"/>
            </a:pPr>
            <a:r>
              <a:rPr lang="en-US" sz="1800"/>
              <a:t>Representative Monthly Rainfall Totals</a:t>
            </a:r>
          </a:p>
        </c:rich>
      </c:tx>
      <c:layout>
        <c:manualLayout>
          <c:xMode val="edge"/>
          <c:yMode val="edge"/>
          <c:x val="0.22529521647631887"/>
          <c:y val="0"/>
        </c:manualLayout>
      </c:layout>
      <c:overlay val="0"/>
      <c:spPr>
        <a:noFill/>
        <a:ln>
          <a:noFill/>
        </a:ln>
        <a:effectLst/>
      </c:spPr>
      <c:txPr>
        <a:bodyPr rot="0" spcFirstLastPara="1" vertOverflow="ellipsis" vert="horz" wrap="square" anchor="ctr" anchorCtr="1"/>
        <a:lstStyle/>
        <a:p>
          <a:pPr>
            <a:defRPr sz="1800" b="0" i="0" u="none" strike="noStrike" kern="1200" spc="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title>
    <c:autoTitleDeleted val="0"/>
    <c:plotArea>
      <c:layout>
        <c:manualLayout>
          <c:layoutTarget val="inner"/>
          <c:xMode val="edge"/>
          <c:yMode val="edge"/>
          <c:x val="0.14957634800154487"/>
          <c:y val="0.17227225532804957"/>
          <c:w val="0.82840162997643307"/>
          <c:h val="0.68422647189155328"/>
        </c:manualLayout>
      </c:layout>
      <c:barChart>
        <c:barDir val="col"/>
        <c:grouping val="clustered"/>
        <c:varyColors val="0"/>
        <c:ser>
          <c:idx val="1"/>
          <c:order val="0"/>
          <c:tx>
            <c:strRef>
              <c:f>'Final Grids'!$G$3</c:f>
              <c:strCache>
                <c:ptCount val="1"/>
                <c:pt idx="0">
                  <c:v>Wet</c:v>
                </c:pt>
              </c:strCache>
            </c:strRef>
          </c:tx>
          <c:spPr>
            <a:solidFill>
              <a:schemeClr val="tx2">
                <a:lumMod val="90000"/>
                <a:lumOff val="10000"/>
              </a:schemeClr>
            </a:solidFill>
            <a:ln>
              <a:noFill/>
            </a:ln>
            <a:effectLst/>
          </c:spPr>
          <c:invertIfNegative val="0"/>
          <c:cat>
            <c:numRef>
              <c:f>'Final Grids'!$F$4:$F$15</c:f>
              <c:numCache>
                <c:formatCode>General</c:formatCode>
                <c:ptCount val="12"/>
                <c:pt idx="0">
                  <c:v>1</c:v>
                </c:pt>
                <c:pt idx="1">
                  <c:v>2</c:v>
                </c:pt>
                <c:pt idx="2">
                  <c:v>3</c:v>
                </c:pt>
                <c:pt idx="3">
                  <c:v>4</c:v>
                </c:pt>
                <c:pt idx="4">
                  <c:v>5</c:v>
                </c:pt>
                <c:pt idx="5">
                  <c:v>6</c:v>
                </c:pt>
                <c:pt idx="6">
                  <c:v>7</c:v>
                </c:pt>
                <c:pt idx="7">
                  <c:v>8</c:v>
                </c:pt>
                <c:pt idx="8">
                  <c:v>9</c:v>
                </c:pt>
                <c:pt idx="9">
                  <c:v>10</c:v>
                </c:pt>
                <c:pt idx="10">
                  <c:v>11</c:v>
                </c:pt>
                <c:pt idx="11">
                  <c:v>12</c:v>
                </c:pt>
              </c:numCache>
            </c:numRef>
          </c:cat>
          <c:val>
            <c:numRef>
              <c:f>'Final Grids'!$G$4:$G$15</c:f>
              <c:numCache>
                <c:formatCode>0.00</c:formatCode>
                <c:ptCount val="12"/>
                <c:pt idx="0">
                  <c:v>161.64131410250215</c:v>
                </c:pt>
                <c:pt idx="1">
                  <c:v>155.72949002481442</c:v>
                </c:pt>
                <c:pt idx="2">
                  <c:v>165.4538565743398</c:v>
                </c:pt>
                <c:pt idx="3">
                  <c:v>190.19827796705701</c:v>
                </c:pt>
                <c:pt idx="4">
                  <c:v>203.87277474807934</c:v>
                </c:pt>
                <c:pt idx="5">
                  <c:v>200.34376221318985</c:v>
                </c:pt>
                <c:pt idx="6">
                  <c:v>216.90851197978924</c:v>
                </c:pt>
                <c:pt idx="7">
                  <c:v>274.4147123483117</c:v>
                </c:pt>
                <c:pt idx="8">
                  <c:v>212.53750893184335</c:v>
                </c:pt>
                <c:pt idx="9">
                  <c:v>191.55789076964714</c:v>
                </c:pt>
                <c:pt idx="10">
                  <c:v>134.88239236203961</c:v>
                </c:pt>
                <c:pt idx="11">
                  <c:v>191.24499224316901</c:v>
                </c:pt>
              </c:numCache>
            </c:numRef>
          </c:val>
          <c:extLst>
            <c:ext xmlns:c16="http://schemas.microsoft.com/office/drawing/2014/chart" uri="{C3380CC4-5D6E-409C-BE32-E72D297353CC}">
              <c16:uniqueId val="{00000001-83AF-48EC-83BA-475F74E17A9A}"/>
            </c:ext>
          </c:extLst>
        </c:ser>
        <c:ser>
          <c:idx val="3"/>
          <c:order val="1"/>
          <c:tx>
            <c:strRef>
              <c:f>'Final Grids'!$L$3</c:f>
              <c:strCache>
                <c:ptCount val="1"/>
                <c:pt idx="0">
                  <c:v>Wet-rep</c:v>
                </c:pt>
              </c:strCache>
            </c:strRef>
          </c:tx>
          <c:spPr>
            <a:solidFill>
              <a:schemeClr val="accent4"/>
            </a:solidFill>
            <a:ln>
              <a:noFill/>
            </a:ln>
            <a:effectLst/>
          </c:spPr>
          <c:invertIfNegative val="0"/>
          <c:val>
            <c:numRef>
              <c:f>'Final Grids'!$L$4:$L$15</c:f>
              <c:numCache>
                <c:formatCode>0.00</c:formatCode>
                <c:ptCount val="12"/>
                <c:pt idx="0">
                  <c:v>164.38120084531801</c:v>
                </c:pt>
                <c:pt idx="1">
                  <c:v>160.06426473666599</c:v>
                </c:pt>
                <c:pt idx="2">
                  <c:v>170.16263778233201</c:v>
                </c:pt>
                <c:pt idx="3">
                  <c:v>180.304339507641</c:v>
                </c:pt>
                <c:pt idx="4">
                  <c:v>193.09739453655001</c:v>
                </c:pt>
                <c:pt idx="5">
                  <c:v>192.05578603356</c:v>
                </c:pt>
                <c:pt idx="6">
                  <c:v>216.98352305886399</c:v>
                </c:pt>
                <c:pt idx="7">
                  <c:v>271.99775084445901</c:v>
                </c:pt>
                <c:pt idx="8">
                  <c:v>205.85763522196501</c:v>
                </c:pt>
                <c:pt idx="9">
                  <c:v>193.88713460684801</c:v>
                </c:pt>
                <c:pt idx="10">
                  <c:v>128.90125667872101</c:v>
                </c:pt>
                <c:pt idx="11">
                  <c:v>183.04649252950901</c:v>
                </c:pt>
              </c:numCache>
            </c:numRef>
          </c:val>
          <c:extLst>
            <c:ext xmlns:c16="http://schemas.microsoft.com/office/drawing/2014/chart" uri="{C3380CC4-5D6E-409C-BE32-E72D297353CC}">
              <c16:uniqueId val="{00000004-83AF-48EC-83BA-475F74E17A9A}"/>
            </c:ext>
          </c:extLst>
        </c:ser>
        <c:ser>
          <c:idx val="0"/>
          <c:order val="2"/>
          <c:tx>
            <c:strRef>
              <c:f>'Final Grids'!$H$3</c:f>
              <c:strCache>
                <c:ptCount val="1"/>
                <c:pt idx="0">
                  <c:v>Avg</c:v>
                </c:pt>
              </c:strCache>
            </c:strRef>
          </c:tx>
          <c:spPr>
            <a:solidFill>
              <a:schemeClr val="accent6">
                <a:lumMod val="75000"/>
              </a:schemeClr>
            </a:solidFill>
            <a:ln>
              <a:noFill/>
            </a:ln>
            <a:effectLst/>
          </c:spPr>
          <c:invertIfNegative val="0"/>
          <c:val>
            <c:numRef>
              <c:f>'Final Grids'!$H$4:$H$15</c:f>
              <c:numCache>
                <c:formatCode>0.00</c:formatCode>
                <c:ptCount val="12"/>
                <c:pt idx="0">
                  <c:v>106.17489670017676</c:v>
                </c:pt>
                <c:pt idx="1">
                  <c:v>93.686512110573943</c:v>
                </c:pt>
                <c:pt idx="2">
                  <c:v>100.28108204406847</c:v>
                </c:pt>
                <c:pt idx="3">
                  <c:v>116.24585923665416</c:v>
                </c:pt>
                <c:pt idx="4">
                  <c:v>141.28628902919559</c:v>
                </c:pt>
                <c:pt idx="5">
                  <c:v>132.82403716091025</c:v>
                </c:pt>
                <c:pt idx="6">
                  <c:v>174.02728677760467</c:v>
                </c:pt>
                <c:pt idx="7">
                  <c:v>155.26769516575649</c:v>
                </c:pt>
                <c:pt idx="8">
                  <c:v>117.10081675466972</c:v>
                </c:pt>
                <c:pt idx="9">
                  <c:v>91.207557322705171</c:v>
                </c:pt>
                <c:pt idx="10">
                  <c:v>69.991235430204128</c:v>
                </c:pt>
                <c:pt idx="11">
                  <c:v>112.7115996469275</c:v>
                </c:pt>
              </c:numCache>
            </c:numRef>
          </c:val>
          <c:extLst>
            <c:ext xmlns:c16="http://schemas.microsoft.com/office/drawing/2014/chart" uri="{C3380CC4-5D6E-409C-BE32-E72D297353CC}">
              <c16:uniqueId val="{00000002-83AF-48EC-83BA-475F74E17A9A}"/>
            </c:ext>
          </c:extLst>
        </c:ser>
        <c:ser>
          <c:idx val="4"/>
          <c:order val="3"/>
          <c:tx>
            <c:strRef>
              <c:f>'Final Grids'!$M$3</c:f>
              <c:strCache>
                <c:ptCount val="1"/>
                <c:pt idx="0">
                  <c:v>Avg-rep</c:v>
                </c:pt>
              </c:strCache>
            </c:strRef>
          </c:tx>
          <c:spPr>
            <a:solidFill>
              <a:schemeClr val="accent6">
                <a:lumMod val="40000"/>
                <a:lumOff val="60000"/>
              </a:schemeClr>
            </a:solidFill>
            <a:ln>
              <a:noFill/>
            </a:ln>
            <a:effectLst/>
          </c:spPr>
          <c:invertIfNegative val="0"/>
          <c:val>
            <c:numRef>
              <c:f>'Final Grids'!$M$4:$M$15</c:f>
              <c:numCache>
                <c:formatCode>0.00</c:formatCode>
                <c:ptCount val="12"/>
                <c:pt idx="0">
                  <c:v>105.13069468006501</c:v>
                </c:pt>
                <c:pt idx="1">
                  <c:v>90.962622575394704</c:v>
                </c:pt>
                <c:pt idx="2">
                  <c:v>97.170448965533694</c:v>
                </c:pt>
                <c:pt idx="3">
                  <c:v>117.58415086941</c:v>
                </c:pt>
                <c:pt idx="4">
                  <c:v>141.80286867385499</c:v>
                </c:pt>
                <c:pt idx="5">
                  <c:v>132.55114675051399</c:v>
                </c:pt>
                <c:pt idx="6">
                  <c:v>168.924525128955</c:v>
                </c:pt>
                <c:pt idx="7">
                  <c:v>148.29094283185799</c:v>
                </c:pt>
                <c:pt idx="8">
                  <c:v>113.146625379773</c:v>
                </c:pt>
                <c:pt idx="9">
                  <c:v>84.344506908979994</c:v>
                </c:pt>
                <c:pt idx="10">
                  <c:v>70.123216617177405</c:v>
                </c:pt>
                <c:pt idx="11">
                  <c:v>116.28624976427101</c:v>
                </c:pt>
              </c:numCache>
            </c:numRef>
          </c:val>
          <c:extLst>
            <c:ext xmlns:c16="http://schemas.microsoft.com/office/drawing/2014/chart" uri="{C3380CC4-5D6E-409C-BE32-E72D297353CC}">
              <c16:uniqueId val="{00000005-83AF-48EC-83BA-475F74E17A9A}"/>
            </c:ext>
          </c:extLst>
        </c:ser>
        <c:ser>
          <c:idx val="2"/>
          <c:order val="4"/>
          <c:tx>
            <c:strRef>
              <c:f>'Final Grids'!$I$3</c:f>
              <c:strCache>
                <c:ptCount val="1"/>
                <c:pt idx="0">
                  <c:v>Dry</c:v>
                </c:pt>
              </c:strCache>
            </c:strRef>
          </c:tx>
          <c:spPr>
            <a:solidFill>
              <a:schemeClr val="accent2">
                <a:lumMod val="50000"/>
              </a:schemeClr>
            </a:solidFill>
            <a:ln>
              <a:noFill/>
            </a:ln>
            <a:effectLst/>
          </c:spPr>
          <c:invertIfNegative val="0"/>
          <c:val>
            <c:numRef>
              <c:f>'Final Grids'!$I$4:$I$15</c:f>
              <c:numCache>
                <c:formatCode>0.00</c:formatCode>
                <c:ptCount val="12"/>
                <c:pt idx="0">
                  <c:v>68.627568186397141</c:v>
                </c:pt>
                <c:pt idx="1">
                  <c:v>60.660558276571983</c:v>
                </c:pt>
                <c:pt idx="2">
                  <c:v>49.982871695826574</c:v>
                </c:pt>
                <c:pt idx="3">
                  <c:v>62.630032748514893</c:v>
                </c:pt>
                <c:pt idx="4">
                  <c:v>81.389706477665442</c:v>
                </c:pt>
                <c:pt idx="5">
                  <c:v>88.042981781037653</c:v>
                </c:pt>
                <c:pt idx="6">
                  <c:v>119.17929526412026</c:v>
                </c:pt>
                <c:pt idx="7">
                  <c:v>87.672587693234505</c:v>
                </c:pt>
                <c:pt idx="8">
                  <c:v>63.743447071131847</c:v>
                </c:pt>
                <c:pt idx="9">
                  <c:v>28.475234530121373</c:v>
                </c:pt>
                <c:pt idx="10">
                  <c:v>34.394428539269725</c:v>
                </c:pt>
                <c:pt idx="11">
                  <c:v>76.77555408552135</c:v>
                </c:pt>
              </c:numCache>
            </c:numRef>
          </c:val>
          <c:extLst>
            <c:ext xmlns:c16="http://schemas.microsoft.com/office/drawing/2014/chart" uri="{C3380CC4-5D6E-409C-BE32-E72D297353CC}">
              <c16:uniqueId val="{00000003-83AF-48EC-83BA-475F74E17A9A}"/>
            </c:ext>
          </c:extLst>
        </c:ser>
        <c:ser>
          <c:idx val="5"/>
          <c:order val="5"/>
          <c:tx>
            <c:strRef>
              <c:f>'Final Grids'!$N$3</c:f>
              <c:strCache>
                <c:ptCount val="1"/>
                <c:pt idx="0">
                  <c:v>Dry-rep</c:v>
                </c:pt>
              </c:strCache>
            </c:strRef>
          </c:tx>
          <c:spPr>
            <a:solidFill>
              <a:srgbClr val="FFC000"/>
            </a:solidFill>
            <a:ln>
              <a:noFill/>
            </a:ln>
            <a:effectLst/>
          </c:spPr>
          <c:invertIfNegative val="0"/>
          <c:val>
            <c:numRef>
              <c:f>'Final Grids'!$N$4:$N$15</c:f>
              <c:numCache>
                <c:formatCode>0.00</c:formatCode>
                <c:ptCount val="12"/>
                <c:pt idx="0">
                  <c:v>63.552695042378197</c:v>
                </c:pt>
                <c:pt idx="1">
                  <c:v>67.005375800010995</c:v>
                </c:pt>
                <c:pt idx="2">
                  <c:v>46.2895654137278</c:v>
                </c:pt>
                <c:pt idx="3">
                  <c:v>69.717565737328997</c:v>
                </c:pt>
                <c:pt idx="4">
                  <c:v>86.080787801706705</c:v>
                </c:pt>
                <c:pt idx="5">
                  <c:v>84.480905730213905</c:v>
                </c:pt>
                <c:pt idx="6">
                  <c:v>128.01322723478299</c:v>
                </c:pt>
                <c:pt idx="7">
                  <c:v>96.682842243272603</c:v>
                </c:pt>
                <c:pt idx="8">
                  <c:v>63.935120785916503</c:v>
                </c:pt>
                <c:pt idx="9">
                  <c:v>35.554345958031803</c:v>
                </c:pt>
                <c:pt idx="10">
                  <c:v>35.951627321742599</c:v>
                </c:pt>
                <c:pt idx="11">
                  <c:v>72.129331679300606</c:v>
                </c:pt>
              </c:numCache>
            </c:numRef>
          </c:val>
          <c:extLst>
            <c:ext xmlns:c16="http://schemas.microsoft.com/office/drawing/2014/chart" uri="{C3380CC4-5D6E-409C-BE32-E72D297353CC}">
              <c16:uniqueId val="{00000006-83AF-48EC-83BA-475F74E17A9A}"/>
            </c:ext>
          </c:extLst>
        </c:ser>
        <c:dLbls>
          <c:showLegendKey val="0"/>
          <c:showVal val="0"/>
          <c:showCatName val="0"/>
          <c:showSerName val="0"/>
          <c:showPercent val="0"/>
          <c:showBubbleSize val="0"/>
        </c:dLbls>
        <c:gapWidth val="219"/>
        <c:overlap val="-27"/>
        <c:axId val="406730991"/>
        <c:axId val="406721391"/>
      </c:barChart>
      <c:catAx>
        <c:axId val="406730991"/>
        <c:scaling>
          <c:orientation val="minMax"/>
        </c:scaling>
        <c:delete val="0"/>
        <c:axPos val="b"/>
        <c:title>
          <c:tx>
            <c:rich>
              <a:bodyPr rot="0" spcFirstLastPara="1" vertOverflow="ellipsis" vert="horz" wrap="square" anchor="ctr" anchorCtr="1"/>
              <a:lstStyle/>
              <a:p>
                <a:pPr>
                  <a:defRPr sz="1600" b="0"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r>
                  <a:rPr lang="en-US" sz="1600"/>
                  <a:t>Month</a:t>
                </a:r>
              </a:p>
            </c:rich>
          </c:tx>
          <c:overlay val="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406721391"/>
        <c:crosses val="autoZero"/>
        <c:auto val="1"/>
        <c:lblAlgn val="ctr"/>
        <c:lblOffset val="100"/>
        <c:noMultiLvlLbl val="0"/>
      </c:catAx>
      <c:valAx>
        <c:axId val="40672139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600" b="0"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r>
                  <a:rPr lang="en-US" sz="1600"/>
                  <a:t>Monthly Rainfall (mm)</a:t>
                </a:r>
              </a:p>
            </c:rich>
          </c:tx>
          <c:overlay val="0"/>
          <c:spPr>
            <a:noFill/>
            <a:ln>
              <a:noFill/>
            </a:ln>
            <a:effectLst/>
          </c:spPr>
          <c:txPr>
            <a:bodyPr rot="-5400000" spcFirstLastPara="1" vertOverflow="ellipsis" vert="horz" wrap="square" anchor="ctr" anchorCtr="1"/>
            <a:lstStyle/>
            <a:p>
              <a:pPr>
                <a:defRPr sz="1600" b="0"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406730991"/>
        <c:crosses val="autoZero"/>
        <c:crossBetween val="between"/>
      </c:valAx>
      <c:spPr>
        <a:noFill/>
        <a:ln>
          <a:noFill/>
        </a:ln>
        <a:effectLst/>
      </c:spPr>
    </c:plotArea>
    <c:legend>
      <c:legendPos val="b"/>
      <c:layout>
        <c:manualLayout>
          <c:xMode val="edge"/>
          <c:yMode val="edge"/>
          <c:x val="0.74119016654449721"/>
          <c:y val="0.18355665840428595"/>
          <c:w val="0.23834038763172621"/>
          <c:h val="0.19684565017460967"/>
        </c:manualLayout>
      </c:layout>
      <c:overlay val="0"/>
      <c:spPr>
        <a:solidFill>
          <a:sysClr val="window" lastClr="FFFFFF"/>
        </a:solidFill>
        <a:ln>
          <a:noFill/>
        </a:ln>
        <a:effectLst/>
      </c:spPr>
      <c:txPr>
        <a:bodyPr rot="0" spcFirstLastPara="1" vertOverflow="ellipsis" vert="horz" wrap="square" anchor="ctr" anchorCtr="1"/>
        <a:lstStyle/>
        <a:p>
          <a:pPr>
            <a:defRPr sz="1200" b="0"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20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523875</xdr:colOff>
      <xdr:row>15</xdr:row>
      <xdr:rowOff>100012</xdr:rowOff>
    </xdr:from>
    <xdr:to>
      <xdr:col>8</xdr:col>
      <xdr:colOff>619125</xdr:colOff>
      <xdr:row>34</xdr:row>
      <xdr:rowOff>171450</xdr:rowOff>
    </xdr:to>
    <xdr:graphicFrame macro="">
      <xdr:nvGraphicFramePr>
        <xdr:cNvPr id="2" name="Chart 1">
          <a:extLst>
            <a:ext uri="{FF2B5EF4-FFF2-40B4-BE49-F238E27FC236}">
              <a16:creationId xmlns:a16="http://schemas.microsoft.com/office/drawing/2014/main" id="{FFB072FA-B1FD-43D5-CEE8-DCC5B78D7D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E4228F-BA43-4FCF-973F-70370FAE3B1B}">
  <dimension ref="A1:AS541"/>
  <sheetViews>
    <sheetView showGridLines="0" workbookViewId="0">
      <selection activeCell="K19" sqref="K19"/>
    </sheetView>
  </sheetViews>
  <sheetFormatPr defaultRowHeight="15" x14ac:dyDescent="0.25"/>
  <cols>
    <col min="1" max="1" width="14.7109375" bestFit="1" customWidth="1"/>
    <col min="2" max="2" width="13.85546875" bestFit="1" customWidth="1"/>
    <col min="3" max="3" width="9.7109375" bestFit="1" customWidth="1"/>
    <col min="4" max="4" width="11.42578125" bestFit="1" customWidth="1"/>
    <col min="5" max="5" width="10.5703125" customWidth="1"/>
    <col min="6" max="6" width="15.7109375" bestFit="1" customWidth="1"/>
    <col min="7" max="7" width="9.42578125" bestFit="1" customWidth="1"/>
    <col min="8" max="8" width="10.7109375" customWidth="1"/>
    <col min="9" max="9" width="14.42578125" bestFit="1" customWidth="1"/>
    <col min="10" max="11" width="9.42578125" customWidth="1"/>
    <col min="12" max="13" width="4.140625" customWidth="1"/>
    <col min="23" max="23" width="1.140625" customWidth="1"/>
    <col min="25" max="25" width="9.28515625" customWidth="1"/>
    <col min="26" max="26" width="1.140625" customWidth="1"/>
    <col min="27" max="27" width="10.85546875" bestFit="1" customWidth="1"/>
    <col min="28" max="30" width="9.28515625" customWidth="1"/>
    <col min="31" max="31" width="12.28515625" customWidth="1"/>
    <col min="32" max="32" width="1.140625" customWidth="1"/>
    <col min="35" max="35" width="11" customWidth="1"/>
    <col min="36" max="36" width="1.140625" customWidth="1"/>
    <col min="38" max="38" width="14.28515625" customWidth="1"/>
    <col min="39" max="39" width="14.5703125" customWidth="1"/>
    <col min="40" max="40" width="1.140625" customWidth="1"/>
  </cols>
  <sheetData>
    <row r="1" spans="1:45" x14ac:dyDescent="0.25">
      <c r="AK1" s="7" t="s">
        <v>0</v>
      </c>
      <c r="AL1" s="7">
        <v>-1</v>
      </c>
      <c r="AM1" s="7">
        <v>1</v>
      </c>
      <c r="AP1" s="16">
        <f>L2</f>
        <v>0.3</v>
      </c>
    </row>
    <row r="2" spans="1:45" x14ac:dyDescent="0.25">
      <c r="D2" s="27" t="s">
        <v>1</v>
      </c>
      <c r="E2" s="27"/>
      <c r="F2" s="27" t="s">
        <v>2</v>
      </c>
      <c r="K2" s="16" t="s">
        <v>3</v>
      </c>
      <c r="L2" s="16">
        <v>0.3</v>
      </c>
      <c r="N2" s="57" t="s">
        <v>4</v>
      </c>
      <c r="O2" s="58"/>
      <c r="P2" s="58"/>
      <c r="Q2" s="58"/>
      <c r="R2" s="59"/>
      <c r="T2" s="63" t="s">
        <v>5</v>
      </c>
      <c r="U2" s="63" t="s">
        <v>6</v>
      </c>
      <c r="V2" s="63" t="s">
        <v>7</v>
      </c>
      <c r="W2" s="8"/>
      <c r="X2" s="63" t="s">
        <v>8</v>
      </c>
      <c r="Y2" s="63" t="s">
        <v>7</v>
      </c>
      <c r="Z2" s="8"/>
      <c r="AA2" s="63" t="s">
        <v>9</v>
      </c>
      <c r="AB2" s="63"/>
      <c r="AC2" s="63"/>
      <c r="AD2" s="63"/>
      <c r="AE2" s="63"/>
      <c r="AF2" s="8"/>
      <c r="AG2" s="67" t="s">
        <v>10</v>
      </c>
      <c r="AH2" s="68"/>
      <c r="AI2" s="69"/>
      <c r="AJ2" s="8"/>
      <c r="AK2" s="63" t="s">
        <v>11</v>
      </c>
      <c r="AL2" s="66" t="s">
        <v>12</v>
      </c>
      <c r="AM2" s="66" t="s">
        <v>13</v>
      </c>
      <c r="AN2" s="8"/>
      <c r="AO2" s="63" t="s">
        <v>14</v>
      </c>
      <c r="AP2" s="64" t="s">
        <v>11</v>
      </c>
      <c r="AQ2" s="65"/>
      <c r="AR2" s="64" t="s">
        <v>15</v>
      </c>
      <c r="AS2" s="65"/>
    </row>
    <row r="3" spans="1:45" x14ac:dyDescent="0.25">
      <c r="A3" s="9" t="s">
        <v>16</v>
      </c>
      <c r="B3" s="9" t="s">
        <v>17</v>
      </c>
      <c r="C3" s="45" t="s">
        <v>18</v>
      </c>
      <c r="D3" s="45" t="s">
        <v>19</v>
      </c>
      <c r="E3" s="45" t="s">
        <v>20</v>
      </c>
      <c r="F3" s="45" t="s">
        <v>21</v>
      </c>
      <c r="G3" s="45" t="s">
        <v>22</v>
      </c>
      <c r="H3" s="45" t="s">
        <v>23</v>
      </c>
      <c r="I3" s="45" t="s">
        <v>24</v>
      </c>
      <c r="J3" s="6"/>
      <c r="K3" s="6"/>
      <c r="L3" s="6"/>
      <c r="N3" s="23" t="s">
        <v>5</v>
      </c>
      <c r="O3" s="24" t="s">
        <v>25</v>
      </c>
      <c r="P3" s="24" t="s">
        <v>26</v>
      </c>
      <c r="Q3" s="24" t="s">
        <v>27</v>
      </c>
      <c r="R3" s="24" t="s">
        <v>28</v>
      </c>
      <c r="T3" s="63"/>
      <c r="U3" s="63"/>
      <c r="V3" s="63"/>
      <c r="W3" s="8"/>
      <c r="X3" s="63"/>
      <c r="Y3" s="63"/>
      <c r="Z3" s="8"/>
      <c r="AA3" s="45" t="s">
        <v>29</v>
      </c>
      <c r="AB3" s="45" t="s">
        <v>30</v>
      </c>
      <c r="AC3" s="45"/>
      <c r="AD3" s="45" t="s">
        <v>31</v>
      </c>
      <c r="AE3" s="45" t="s">
        <v>7</v>
      </c>
      <c r="AF3" s="8"/>
      <c r="AG3" s="70"/>
      <c r="AH3" s="71"/>
      <c r="AI3" s="72"/>
      <c r="AJ3" s="8"/>
      <c r="AK3" s="63"/>
      <c r="AL3" s="63"/>
      <c r="AM3" s="63"/>
      <c r="AN3" s="8"/>
      <c r="AO3" s="63"/>
      <c r="AP3" s="45" t="s">
        <v>32</v>
      </c>
      <c r="AQ3" s="45" t="s">
        <v>33</v>
      </c>
      <c r="AR3" s="45" t="s">
        <v>32</v>
      </c>
      <c r="AS3" s="45" t="s">
        <v>33</v>
      </c>
    </row>
    <row r="4" spans="1:45" x14ac:dyDescent="0.25">
      <c r="A4" s="2">
        <f t="shared" ref="A4:A67" si="0">IF(D4=D3,A3+1,1)</f>
        <v>1</v>
      </c>
      <c r="B4" s="2">
        <v>1</v>
      </c>
      <c r="C4" s="1">
        <v>41305</v>
      </c>
      <c r="D4" s="2">
        <v>1</v>
      </c>
      <c r="E4" s="3">
        <v>126.02658367075701</v>
      </c>
      <c r="F4" s="3">
        <v>207.33242404548099</v>
      </c>
      <c r="G4" s="2">
        <v>2013</v>
      </c>
      <c r="H4" s="15" t="str">
        <f ca="1">IF(F4&lt;VLOOKUP($D4,$T$4:$AS$15,23,FALSE),"DRY",IF(F4&gt;VLOOKUP($D4,$T$4:$AS$15,24,FALSE),"WET","AVG"))</f>
        <v>WET</v>
      </c>
      <c r="I4" s="15" t="str">
        <f ca="1">IF(F4&lt;VLOOKUP($D4,$T$4:$AS$15,25,FALSE),"DRY",IF(F4&gt;VLOOKUP($D4,$T$4:$AS$15,26,FALSE),"WET","AVG"))</f>
        <v>WET</v>
      </c>
      <c r="N4" s="25">
        <v>1</v>
      </c>
      <c r="O4" s="26">
        <f t="shared" ref="O4:Q15" ca="1" si="1">COUNTIFS($D$4:$D$541,$N4,$H$4:$H$541,O$3)</f>
        <v>7</v>
      </c>
      <c r="P4" s="26">
        <f t="shared" ca="1" si="1"/>
        <v>4</v>
      </c>
      <c r="Q4" s="26">
        <f t="shared" ca="1" si="1"/>
        <v>7</v>
      </c>
      <c r="R4" s="26">
        <f ca="1">SUM(O4:Q4)</f>
        <v>18</v>
      </c>
      <c r="S4" s="5"/>
      <c r="T4" s="10">
        <v>1</v>
      </c>
      <c r="U4" s="11">
        <f t="shared" ref="U4:U15" si="2">_xlfn.MAXIFS($F$4:$F$541,$D$4:$D$541,$T4)</f>
        <v>207.33242404548099</v>
      </c>
      <c r="V4" s="10">
        <f t="shared" ref="V4:V15" si="3">VLOOKUP($U4,$F$4:$G$541,2,FALSE)</f>
        <v>2013</v>
      </c>
      <c r="W4" s="12"/>
      <c r="X4" s="11">
        <f t="shared" ref="X4:X15" si="4">_xlfn.MINIFS($F$4:$F$541,$D$4:$D$541,$T4)</f>
        <v>58.263549129831901</v>
      </c>
      <c r="Y4" s="10">
        <f t="shared" ref="Y4:Y15" si="5">VLOOKUP($X4,$F$4:$G$541,2,FALSE)</f>
        <v>2014</v>
      </c>
      <c r="Z4" s="12"/>
      <c r="AA4" s="10">
        <f>COUNTIFS($D$4:$D$541,$T4)</f>
        <v>18</v>
      </c>
      <c r="AB4" s="11">
        <f t="shared" ref="AB4:AB15" si="6">VLOOKUP($AA4-13,$B$4:$G$541,5,FALSE)</f>
        <v>145.716848954439</v>
      </c>
      <c r="AC4" s="28">
        <f ca="1">MEDIAN(INDIRECT(AI4))</f>
        <v>109.568849461423</v>
      </c>
      <c r="AD4" s="11">
        <f t="shared" ref="AD4:AD15" si="7">VLOOKUP($AA4-11,$B$4:$G$541,5,FALSE)</f>
        <v>138.614855135152</v>
      </c>
      <c r="AE4" s="15" t="str">
        <f t="shared" ref="AE4:AE15" si="8">VLOOKUP(AB4,$F$4:$G$541,2,FALSE)&amp;", "&amp;VLOOKUP(AD4,$F$4:$G$541,2,FALSE)</f>
        <v>2023, 2015</v>
      </c>
      <c r="AF4" s="12"/>
      <c r="AG4">
        <f t="shared" ref="AG4:AG15" si="9">MATCH(T4,D:D,0)</f>
        <v>4</v>
      </c>
      <c r="AH4" s="2">
        <f>AG5-1</f>
        <v>21</v>
      </c>
      <c r="AI4" s="14" t="str">
        <f>$AK$1&amp;AG4&amp;":"&amp;$AK$1&amp;AH4</f>
        <v>F4:F21</v>
      </c>
      <c r="AJ4" s="12"/>
      <c r="AK4" s="11">
        <f t="shared" ref="AK4:AK15" si="10">AVERAGEIFS($F$4:$F$541,$D$4:$D$541,$T4)</f>
        <v>118.31086159661709</v>
      </c>
      <c r="AL4" s="10">
        <f t="shared" ref="AL4:AM15" ca="1" si="11">VLOOKUP(_xlfn.XMATCH($AK4,INDIRECT($AI4),AL$1,1),$A$4:$G$541,7,FALSE)</f>
        <v>2019</v>
      </c>
      <c r="AM4" s="10">
        <f t="shared" ca="1" si="11"/>
        <v>2018</v>
      </c>
      <c r="AN4" s="12"/>
      <c r="AO4" s="11">
        <f ca="1">STDEV(INDIRECT(AI4))</f>
        <v>46.334990646402858</v>
      </c>
      <c r="AP4" s="11">
        <f ca="1">$AK4-($AO4*$AP$1)</f>
        <v>104.41036440269623</v>
      </c>
      <c r="AQ4" s="11">
        <f ca="1">$AK4+($AO4*$AP$1)</f>
        <v>132.21135879053796</v>
      </c>
      <c r="AR4" s="11">
        <f ca="1">$AC4-($AO4*$AP$1)</f>
        <v>95.668352267502144</v>
      </c>
      <c r="AS4" s="11">
        <f ca="1">$AC4+($AO4*$AP$1)</f>
        <v>123.46934665534386</v>
      </c>
    </row>
    <row r="5" spans="1:45" x14ac:dyDescent="0.25">
      <c r="A5" s="2">
        <f t="shared" si="0"/>
        <v>2</v>
      </c>
      <c r="B5" s="2">
        <f>B4+1</f>
        <v>2</v>
      </c>
      <c r="C5" s="1">
        <v>39478</v>
      </c>
      <c r="D5" s="2">
        <v>1</v>
      </c>
      <c r="E5" s="3">
        <v>116.133202521125</v>
      </c>
      <c r="F5" s="3">
        <v>191.05634453897099</v>
      </c>
      <c r="G5" s="2">
        <v>2008</v>
      </c>
      <c r="H5" s="15" t="str">
        <f t="shared" ref="H5:H68" ca="1" si="12">IF(F5&lt;VLOOKUP($D5,$T$4:$AS$15,23,FALSE),"DRY",IF(F5&gt;VLOOKUP($D5,$T$4:$AS$15,24,FALSE),"WET","AVG"))</f>
        <v>WET</v>
      </c>
      <c r="I5" s="15" t="str">
        <f t="shared" ref="I5:I68" ca="1" si="13">IF(F5&lt;VLOOKUP($D5,$T$4:$AS$15,25,FALSE),"DRY",IF(F5&gt;VLOOKUP($D5,$T$4:$AS$15,26,FALSE),"WET","AVG"))</f>
        <v>WET</v>
      </c>
      <c r="N5" s="25">
        <f>N4+1</f>
        <v>2</v>
      </c>
      <c r="O5" s="26">
        <f t="shared" ca="1" si="1"/>
        <v>5</v>
      </c>
      <c r="P5" s="26">
        <f t="shared" ca="1" si="1"/>
        <v>5</v>
      </c>
      <c r="Q5" s="26">
        <f t="shared" ca="1" si="1"/>
        <v>8</v>
      </c>
      <c r="R5" s="26">
        <f t="shared" ref="R5:R15" ca="1" si="14">SUM(O5:Q5)</f>
        <v>18</v>
      </c>
      <c r="S5" s="5"/>
      <c r="T5" s="10">
        <f>T4+1</f>
        <v>2</v>
      </c>
      <c r="U5" s="11">
        <f t="shared" si="2"/>
        <v>162.934632599488</v>
      </c>
      <c r="V5" s="10">
        <f t="shared" si="3"/>
        <v>2013</v>
      </c>
      <c r="W5" s="12"/>
      <c r="X5" s="11">
        <f t="shared" si="4"/>
        <v>44.432236082225401</v>
      </c>
      <c r="Y5" s="10">
        <f t="shared" si="5"/>
        <v>2007</v>
      </c>
      <c r="Z5" s="12"/>
      <c r="AA5" s="10">
        <f t="shared" ref="AA5:AA15" si="15">AA4+COUNTIFS($D$4:$D$541,$T5)</f>
        <v>36</v>
      </c>
      <c r="AB5" s="11">
        <f t="shared" si="6"/>
        <v>142.78506617259899</v>
      </c>
      <c r="AC5" s="28">
        <f ca="1">MEDIAN(INDIRECT(AI5))</f>
        <v>90.118145601773548</v>
      </c>
      <c r="AD5" s="11">
        <f t="shared" si="7"/>
        <v>98.333631273437305</v>
      </c>
      <c r="AE5" s="15" t="str">
        <f t="shared" si="8"/>
        <v>2018, 2021</v>
      </c>
      <c r="AF5" s="12"/>
      <c r="AG5" s="10">
        <f t="shared" si="9"/>
        <v>22</v>
      </c>
      <c r="AH5" s="10">
        <f>AG5+AH4-AG4</f>
        <v>39</v>
      </c>
      <c r="AI5" s="14" t="str">
        <f t="shared" ref="AI5:AI15" si="16">$AK$1&amp;AG5&amp;":"&amp;$AK$1&amp;AH5</f>
        <v>F22:F39</v>
      </c>
      <c r="AJ5" s="12"/>
      <c r="AK5" s="11">
        <f t="shared" si="10"/>
        <v>96.242470938306553</v>
      </c>
      <c r="AL5" s="10">
        <f t="shared" ca="1" si="11"/>
        <v>2018</v>
      </c>
      <c r="AM5" s="10">
        <f t="shared" ca="1" si="11"/>
        <v>2015</v>
      </c>
      <c r="AN5" s="12"/>
      <c r="AO5" s="11">
        <f t="shared" ref="AO5:AO15" ca="1" si="17">STDEV(INDIRECT(AI5))</f>
        <v>41.489982136374351</v>
      </c>
      <c r="AP5" s="11">
        <f t="shared" ref="AP5:AP15" ca="1" si="18">$AK5-($AO5*$AP$1)</f>
        <v>83.795476297394245</v>
      </c>
      <c r="AQ5" s="11">
        <f t="shared" ref="AQ5:AQ15" ca="1" si="19">$AK5+($AO5*$AP$1)</f>
        <v>108.68946557921886</v>
      </c>
      <c r="AR5" s="11">
        <f t="shared" ref="AR5:AR15" ca="1" si="20">$AC5-($AO5*$AP$1)</f>
        <v>77.67115096086124</v>
      </c>
      <c r="AS5" s="11">
        <f t="shared" ref="AS5:AS15" ca="1" si="21">$AC5+($AO5*$AP$1)</f>
        <v>102.56514024268586</v>
      </c>
    </row>
    <row r="6" spans="1:45" x14ac:dyDescent="0.25">
      <c r="A6" s="2">
        <f t="shared" si="0"/>
        <v>3</v>
      </c>
      <c r="B6" s="2">
        <f t="shared" ref="B6:B69" si="22">B5+1</f>
        <v>3</v>
      </c>
      <c r="C6" s="1">
        <v>39113</v>
      </c>
      <c r="D6" s="2">
        <v>1</v>
      </c>
      <c r="E6" s="3">
        <v>105.531807951649</v>
      </c>
      <c r="F6" s="3">
        <v>173.61547793503101</v>
      </c>
      <c r="G6" s="2">
        <v>2007</v>
      </c>
      <c r="H6" s="15" t="str">
        <f t="shared" ca="1" si="12"/>
        <v>WET</v>
      </c>
      <c r="I6" s="15" t="str">
        <f t="shared" ca="1" si="13"/>
        <v>WET</v>
      </c>
      <c r="N6" s="25">
        <f t="shared" ref="N6:N11" si="23">N5+1</f>
        <v>3</v>
      </c>
      <c r="O6" s="26">
        <f t="shared" ca="1" si="1"/>
        <v>5</v>
      </c>
      <c r="P6" s="26">
        <f t="shared" ca="1" si="1"/>
        <v>5</v>
      </c>
      <c r="Q6" s="26">
        <f t="shared" ca="1" si="1"/>
        <v>8</v>
      </c>
      <c r="R6" s="26">
        <f t="shared" ca="1" si="14"/>
        <v>18</v>
      </c>
      <c r="S6" s="5"/>
      <c r="T6" s="10">
        <f t="shared" ref="T6:T11" si="24">T5+1</f>
        <v>3</v>
      </c>
      <c r="U6" s="11">
        <f t="shared" si="2"/>
        <v>190.13472290361599</v>
      </c>
      <c r="V6" s="10">
        <f t="shared" si="3"/>
        <v>2009</v>
      </c>
      <c r="W6" s="12"/>
      <c r="X6" s="11">
        <f t="shared" si="4"/>
        <v>24.008023667681499</v>
      </c>
      <c r="Y6" s="10">
        <f t="shared" si="5"/>
        <v>2006</v>
      </c>
      <c r="Z6" s="12"/>
      <c r="AA6" s="10">
        <f t="shared" si="15"/>
        <v>54</v>
      </c>
      <c r="AB6" s="11">
        <f t="shared" si="6"/>
        <v>142.928962300168</v>
      </c>
      <c r="AC6" s="28">
        <f t="shared" ref="AC6:AC15" ca="1" si="25">MEDIAN(INDIRECT(AI6))</f>
        <v>96.156000425459197</v>
      </c>
      <c r="AD6" s="11">
        <f t="shared" si="7"/>
        <v>108.644166803216</v>
      </c>
      <c r="AE6" s="15" t="str">
        <f t="shared" si="8"/>
        <v>2015, 2022</v>
      </c>
      <c r="AF6" s="12"/>
      <c r="AG6" s="10">
        <f t="shared" si="9"/>
        <v>40</v>
      </c>
      <c r="AH6" s="10">
        <f t="shared" ref="AH6:AH15" si="26">AG6+AH5-AG5</f>
        <v>57</v>
      </c>
      <c r="AI6" s="14" t="str">
        <f t="shared" si="16"/>
        <v>F40:F57</v>
      </c>
      <c r="AJ6" s="12"/>
      <c r="AK6" s="11">
        <f t="shared" si="10"/>
        <v>98.824215389271984</v>
      </c>
      <c r="AL6" s="10">
        <f t="shared" ca="1" si="11"/>
        <v>2019</v>
      </c>
      <c r="AM6" s="10">
        <f t="shared" ca="1" si="11"/>
        <v>2018</v>
      </c>
      <c r="AN6" s="12"/>
      <c r="AO6" s="11">
        <f t="shared" ca="1" si="17"/>
        <v>50.596059594468535</v>
      </c>
      <c r="AP6" s="11">
        <f t="shared" ca="1" si="18"/>
        <v>83.645397510931417</v>
      </c>
      <c r="AQ6" s="11">
        <f t="shared" ca="1" si="19"/>
        <v>114.00303326761255</v>
      </c>
      <c r="AR6" s="11">
        <f t="shared" ca="1" si="20"/>
        <v>80.977182547118645</v>
      </c>
      <c r="AS6" s="11">
        <f t="shared" ca="1" si="21"/>
        <v>111.33481830379975</v>
      </c>
    </row>
    <row r="7" spans="1:45" x14ac:dyDescent="0.25">
      <c r="A7" s="2">
        <f t="shared" si="0"/>
        <v>4</v>
      </c>
      <c r="B7" s="2">
        <f t="shared" si="22"/>
        <v>4</v>
      </c>
      <c r="C7" s="49">
        <v>42766</v>
      </c>
      <c r="D7" s="48">
        <v>1</v>
      </c>
      <c r="E7" s="53">
        <v>99.918771786932993</v>
      </c>
      <c r="F7" s="53">
        <v>164.38120084531801</v>
      </c>
      <c r="G7" s="48">
        <v>2017</v>
      </c>
      <c r="H7" s="15" t="str">
        <f t="shared" ca="1" si="12"/>
        <v>WET</v>
      </c>
      <c r="I7" s="15" t="str">
        <f t="shared" ca="1" si="13"/>
        <v>WET</v>
      </c>
      <c r="K7" s="44" t="s">
        <v>54</v>
      </c>
      <c r="N7" s="25">
        <f t="shared" si="23"/>
        <v>4</v>
      </c>
      <c r="O7" s="26">
        <f t="shared" ca="1" si="1"/>
        <v>6</v>
      </c>
      <c r="P7" s="26">
        <f t="shared" ca="1" si="1"/>
        <v>7</v>
      </c>
      <c r="Q7" s="26">
        <f t="shared" ca="1" si="1"/>
        <v>5</v>
      </c>
      <c r="R7" s="26">
        <f t="shared" ca="1" si="14"/>
        <v>18</v>
      </c>
      <c r="S7" s="5"/>
      <c r="T7" s="10">
        <f t="shared" si="24"/>
        <v>4</v>
      </c>
      <c r="U7" s="11">
        <f t="shared" si="2"/>
        <v>250.794782592421</v>
      </c>
      <c r="V7" s="10">
        <f t="shared" si="3"/>
        <v>2015</v>
      </c>
      <c r="W7" s="12"/>
      <c r="X7" s="11">
        <f t="shared" si="4"/>
        <v>29.6174593014685</v>
      </c>
      <c r="Y7" s="10">
        <f t="shared" si="5"/>
        <v>2010</v>
      </c>
      <c r="Z7" s="12"/>
      <c r="AA7" s="10">
        <f t="shared" si="15"/>
        <v>72</v>
      </c>
      <c r="AB7" s="11">
        <f t="shared" si="6"/>
        <v>166.564725166475</v>
      </c>
      <c r="AC7" s="28">
        <f t="shared" ca="1" si="25"/>
        <v>118.12686014727649</v>
      </c>
      <c r="AD7" s="11">
        <f t="shared" si="7"/>
        <v>122.582321726136</v>
      </c>
      <c r="AE7" s="15" t="str">
        <f t="shared" si="8"/>
        <v>2013, 2017</v>
      </c>
      <c r="AF7" s="12"/>
      <c r="AG7" s="10">
        <f t="shared" si="9"/>
        <v>58</v>
      </c>
      <c r="AH7" s="10">
        <f t="shared" si="26"/>
        <v>75</v>
      </c>
      <c r="AI7" s="14" t="str">
        <f t="shared" si="16"/>
        <v>F58:F75</v>
      </c>
      <c r="AJ7" s="12"/>
      <c r="AK7" s="11">
        <f t="shared" si="10"/>
        <v>126.00338034452754</v>
      </c>
      <c r="AL7" s="10">
        <f t="shared" ca="1" si="11"/>
        <v>2015</v>
      </c>
      <c r="AM7" s="10">
        <f t="shared" ca="1" si="11"/>
        <v>2020</v>
      </c>
      <c r="AN7" s="12"/>
      <c r="AO7" s="11">
        <f t="shared" ca="1" si="17"/>
        <v>57.962069847217393</v>
      </c>
      <c r="AP7" s="11">
        <f t="shared" ca="1" si="18"/>
        <v>108.61475939036232</v>
      </c>
      <c r="AQ7" s="11">
        <f t="shared" ca="1" si="19"/>
        <v>143.39200129869275</v>
      </c>
      <c r="AR7" s="11">
        <f t="shared" ca="1" si="20"/>
        <v>100.73823919311127</v>
      </c>
      <c r="AS7" s="11">
        <f t="shared" ca="1" si="21"/>
        <v>135.51548110144171</v>
      </c>
    </row>
    <row r="8" spans="1:45" x14ac:dyDescent="0.25">
      <c r="A8" s="2">
        <f t="shared" si="0"/>
        <v>5</v>
      </c>
      <c r="B8" s="2">
        <f t="shared" si="22"/>
        <v>5</v>
      </c>
      <c r="C8" s="51">
        <v>44957</v>
      </c>
      <c r="D8" s="50">
        <v>1</v>
      </c>
      <c r="E8" s="52">
        <v>88.5736842249392</v>
      </c>
      <c r="F8" s="52">
        <v>145.716848954439</v>
      </c>
      <c r="G8" s="50">
        <v>2023</v>
      </c>
      <c r="H8" s="15" t="str">
        <f t="shared" ca="1" si="12"/>
        <v>WET</v>
      </c>
      <c r="I8" s="15" t="str">
        <f t="shared" ca="1" si="13"/>
        <v>WET</v>
      </c>
      <c r="N8" s="25">
        <f t="shared" si="23"/>
        <v>5</v>
      </c>
      <c r="O8" s="26">
        <f t="shared" ca="1" si="1"/>
        <v>6</v>
      </c>
      <c r="P8" s="26">
        <f t="shared" ca="1" si="1"/>
        <v>5</v>
      </c>
      <c r="Q8" s="26">
        <f t="shared" ca="1" si="1"/>
        <v>7</v>
      </c>
      <c r="R8" s="26">
        <f t="shared" ca="1" si="14"/>
        <v>18</v>
      </c>
      <c r="S8" s="5"/>
      <c r="T8" s="10">
        <f t="shared" si="24"/>
        <v>5</v>
      </c>
      <c r="U8" s="11">
        <f t="shared" si="2"/>
        <v>273.13365109282699</v>
      </c>
      <c r="V8" s="10">
        <f t="shared" si="3"/>
        <v>2021</v>
      </c>
      <c r="W8" s="12"/>
      <c r="X8" s="11">
        <f t="shared" si="4"/>
        <v>31.000427003133201</v>
      </c>
      <c r="Y8" s="10">
        <f t="shared" si="5"/>
        <v>2011</v>
      </c>
      <c r="Z8" s="12"/>
      <c r="AA8" s="10">
        <f t="shared" si="15"/>
        <v>90</v>
      </c>
      <c r="AB8" s="11">
        <f t="shared" si="6"/>
        <v>172.63135621904701</v>
      </c>
      <c r="AC8" s="28">
        <f t="shared" ca="1" si="25"/>
        <v>139.49904379557299</v>
      </c>
      <c r="AD8" s="11">
        <f t="shared" si="7"/>
        <v>147.871392702234</v>
      </c>
      <c r="AE8" s="15" t="str">
        <f t="shared" si="8"/>
        <v>2015, 2013</v>
      </c>
      <c r="AF8" s="12"/>
      <c r="AG8" s="10">
        <f t="shared" si="9"/>
        <v>76</v>
      </c>
      <c r="AH8" s="10">
        <f t="shared" si="26"/>
        <v>93</v>
      </c>
      <c r="AI8" s="14" t="str">
        <f t="shared" si="16"/>
        <v>F76:F93</v>
      </c>
      <c r="AJ8" s="12"/>
      <c r="AK8" s="11">
        <f t="shared" si="10"/>
        <v>138.85533549878403</v>
      </c>
      <c r="AL8" s="10">
        <f t="shared" ca="1" si="11"/>
        <v>2016</v>
      </c>
      <c r="AM8" s="10">
        <f t="shared" ca="1" si="11"/>
        <v>2019</v>
      </c>
      <c r="AN8" s="12"/>
      <c r="AO8" s="11">
        <f t="shared" ca="1" si="17"/>
        <v>60.661786105821356</v>
      </c>
      <c r="AP8" s="11">
        <f t="shared" ca="1" si="18"/>
        <v>120.65679966703763</v>
      </c>
      <c r="AQ8" s="11">
        <f t="shared" ca="1" si="19"/>
        <v>157.05387133053043</v>
      </c>
      <c r="AR8" s="11">
        <f t="shared" ca="1" si="20"/>
        <v>121.30050796382659</v>
      </c>
      <c r="AS8" s="11">
        <f t="shared" ca="1" si="21"/>
        <v>157.69757962731939</v>
      </c>
    </row>
    <row r="9" spans="1:45" x14ac:dyDescent="0.25">
      <c r="A9" s="2">
        <f t="shared" si="0"/>
        <v>6</v>
      </c>
      <c r="B9" s="2">
        <f t="shared" si="22"/>
        <v>6</v>
      </c>
      <c r="C9" s="1">
        <v>43861</v>
      </c>
      <c r="D9" s="2">
        <v>1</v>
      </c>
      <c r="E9" s="3">
        <v>87.441826672127803</v>
      </c>
      <c r="F9" s="3">
        <v>143.854775388185</v>
      </c>
      <c r="G9" s="2">
        <v>2020</v>
      </c>
      <c r="H9" s="15" t="str">
        <f t="shared" ca="1" si="12"/>
        <v>WET</v>
      </c>
      <c r="I9" s="15" t="str">
        <f t="shared" ca="1" si="13"/>
        <v>WET</v>
      </c>
      <c r="N9" s="25">
        <f t="shared" si="23"/>
        <v>6</v>
      </c>
      <c r="O9" s="26">
        <f t="shared" ca="1" si="1"/>
        <v>6</v>
      </c>
      <c r="P9" s="26">
        <f t="shared" ca="1" si="1"/>
        <v>5</v>
      </c>
      <c r="Q9" s="26">
        <f t="shared" ca="1" si="1"/>
        <v>7</v>
      </c>
      <c r="R9" s="26">
        <f t="shared" ca="1" si="14"/>
        <v>18</v>
      </c>
      <c r="S9" s="5"/>
      <c r="T9" s="10">
        <f t="shared" si="24"/>
        <v>6</v>
      </c>
      <c r="U9" s="11">
        <f t="shared" si="2"/>
        <v>275.656690092953</v>
      </c>
      <c r="V9" s="10">
        <f t="shared" si="3"/>
        <v>2017</v>
      </c>
      <c r="W9" s="12"/>
      <c r="X9" s="11">
        <f t="shared" si="4"/>
        <v>45.4086277750772</v>
      </c>
      <c r="Y9" s="10">
        <f t="shared" si="5"/>
        <v>2009</v>
      </c>
      <c r="Z9" s="12"/>
      <c r="AA9" s="10">
        <f t="shared" si="15"/>
        <v>108</v>
      </c>
      <c r="AB9" s="11">
        <f t="shared" si="6"/>
        <v>177.00145121986699</v>
      </c>
      <c r="AC9" s="28">
        <f t="shared" ca="1" si="25"/>
        <v>131.20429988359751</v>
      </c>
      <c r="AD9" s="11">
        <f t="shared" si="7"/>
        <v>156.63966683938199</v>
      </c>
      <c r="AE9" s="15" t="str">
        <f t="shared" si="8"/>
        <v>2014, 2010</v>
      </c>
      <c r="AF9" s="12"/>
      <c r="AG9" s="10">
        <f t="shared" si="9"/>
        <v>94</v>
      </c>
      <c r="AH9" s="10">
        <f t="shared" si="26"/>
        <v>111</v>
      </c>
      <c r="AI9" s="14" t="str">
        <f t="shared" si="16"/>
        <v>F94:F111</v>
      </c>
      <c r="AJ9" s="12"/>
      <c r="AK9" s="11">
        <f t="shared" si="10"/>
        <v>141.66685314462413</v>
      </c>
      <c r="AL9" s="10">
        <f t="shared" ca="1" si="11"/>
        <v>2018</v>
      </c>
      <c r="AM9" s="10">
        <f t="shared" ca="1" si="11"/>
        <v>2015</v>
      </c>
      <c r="AN9" s="12"/>
      <c r="AO9" s="11">
        <f t="shared" ca="1" si="17"/>
        <v>59.201811728019472</v>
      </c>
      <c r="AP9" s="11">
        <f t="shared" ca="1" si="18"/>
        <v>123.90630962621829</v>
      </c>
      <c r="AQ9" s="11">
        <f t="shared" ca="1" si="19"/>
        <v>159.42739666302998</v>
      </c>
      <c r="AR9" s="11">
        <f t="shared" ca="1" si="20"/>
        <v>113.44375636519167</v>
      </c>
      <c r="AS9" s="11">
        <f t="shared" ca="1" si="21"/>
        <v>148.96484340200334</v>
      </c>
    </row>
    <row r="10" spans="1:45" x14ac:dyDescent="0.25">
      <c r="A10" s="2">
        <f t="shared" si="0"/>
        <v>7</v>
      </c>
      <c r="B10" s="2">
        <f t="shared" si="22"/>
        <v>7</v>
      </c>
      <c r="C10" s="1">
        <v>42035</v>
      </c>
      <c r="D10" s="2">
        <v>1</v>
      </c>
      <c r="E10" s="3">
        <v>84.256752020938293</v>
      </c>
      <c r="F10" s="3">
        <v>138.614855135152</v>
      </c>
      <c r="G10" s="2">
        <v>2015</v>
      </c>
      <c r="H10" s="15" t="str">
        <f t="shared" ca="1" si="12"/>
        <v>WET</v>
      </c>
      <c r="I10" s="15" t="str">
        <f t="shared" ca="1" si="13"/>
        <v>WET</v>
      </c>
      <c r="K10" s="42"/>
      <c r="N10" s="25">
        <f t="shared" si="23"/>
        <v>7</v>
      </c>
      <c r="O10" s="26">
        <f t="shared" ca="1" si="1"/>
        <v>9</v>
      </c>
      <c r="P10" s="26">
        <f t="shared" ca="1" si="1"/>
        <v>2</v>
      </c>
      <c r="Q10" s="26">
        <f t="shared" ca="1" si="1"/>
        <v>7</v>
      </c>
      <c r="R10" s="26">
        <f t="shared" ca="1" si="14"/>
        <v>18</v>
      </c>
      <c r="S10" s="5"/>
      <c r="T10" s="10">
        <f t="shared" si="24"/>
        <v>7</v>
      </c>
      <c r="U10" s="11">
        <f t="shared" si="2"/>
        <v>227.10925849917899</v>
      </c>
      <c r="V10" s="10">
        <f t="shared" si="3"/>
        <v>2020</v>
      </c>
      <c r="W10" s="12"/>
      <c r="X10" s="11">
        <f t="shared" si="4"/>
        <v>80.501379010495896</v>
      </c>
      <c r="Y10" s="10">
        <f t="shared" si="5"/>
        <v>2015</v>
      </c>
      <c r="Z10" s="12"/>
      <c r="AA10" s="10">
        <f t="shared" si="15"/>
        <v>126</v>
      </c>
      <c r="AB10" s="11">
        <f t="shared" si="6"/>
        <v>216.98352305886399</v>
      </c>
      <c r="AC10" s="28">
        <f t="shared" ca="1" si="25"/>
        <v>178.56253015643699</v>
      </c>
      <c r="AD10" s="11">
        <f t="shared" si="7"/>
        <v>209.46012183864201</v>
      </c>
      <c r="AE10" s="15" t="str">
        <f t="shared" si="8"/>
        <v>2011, 2006</v>
      </c>
      <c r="AF10" s="12"/>
      <c r="AG10" s="10">
        <f t="shared" si="9"/>
        <v>112</v>
      </c>
      <c r="AH10" s="10">
        <f t="shared" si="26"/>
        <v>129</v>
      </c>
      <c r="AI10" s="14" t="str">
        <f t="shared" si="16"/>
        <v>F112:F129</v>
      </c>
      <c r="AJ10" s="12"/>
      <c r="AK10" s="11">
        <f t="shared" si="10"/>
        <v>171.75583461222055</v>
      </c>
      <c r="AL10" s="10">
        <f t="shared" ca="1" si="11"/>
        <v>2016</v>
      </c>
      <c r="AM10" s="10">
        <f t="shared" ca="1" si="11"/>
        <v>2019</v>
      </c>
      <c r="AN10" s="12"/>
      <c r="AO10" s="11">
        <f t="shared" ca="1" si="17"/>
        <v>48.299979676160071</v>
      </c>
      <c r="AP10" s="11">
        <f t="shared" ca="1" si="18"/>
        <v>157.26584070937253</v>
      </c>
      <c r="AQ10" s="11">
        <f t="shared" ca="1" si="19"/>
        <v>186.24582851506858</v>
      </c>
      <c r="AR10" s="11">
        <f t="shared" ca="1" si="20"/>
        <v>164.07253625358896</v>
      </c>
      <c r="AS10" s="11">
        <f t="shared" ca="1" si="21"/>
        <v>193.05252405928502</v>
      </c>
    </row>
    <row r="11" spans="1:45" x14ac:dyDescent="0.25">
      <c r="A11" s="2">
        <f t="shared" si="0"/>
        <v>8</v>
      </c>
      <c r="B11" s="2">
        <f t="shared" si="22"/>
        <v>8</v>
      </c>
      <c r="C11" s="1">
        <v>43131</v>
      </c>
      <c r="D11" s="2">
        <v>1</v>
      </c>
      <c r="E11" s="3">
        <v>78.144069683601799</v>
      </c>
      <c r="F11" s="3">
        <v>128.55858597744</v>
      </c>
      <c r="G11" s="2">
        <v>2018</v>
      </c>
      <c r="H11" s="15" t="str">
        <f t="shared" ca="1" si="12"/>
        <v>AVG</v>
      </c>
      <c r="I11" s="15" t="str">
        <f t="shared" ca="1" si="13"/>
        <v>WET</v>
      </c>
      <c r="N11" s="25">
        <f t="shared" si="23"/>
        <v>8</v>
      </c>
      <c r="O11" s="26">
        <f t="shared" ca="1" si="1"/>
        <v>6</v>
      </c>
      <c r="P11" s="26">
        <f t="shared" ca="1" si="1"/>
        <v>3</v>
      </c>
      <c r="Q11" s="26">
        <f t="shared" ca="1" si="1"/>
        <v>9</v>
      </c>
      <c r="R11" s="26">
        <f t="shared" ca="1" si="14"/>
        <v>18</v>
      </c>
      <c r="S11" s="5"/>
      <c r="T11" s="10">
        <f t="shared" si="24"/>
        <v>8</v>
      </c>
      <c r="U11" s="11">
        <f t="shared" si="2"/>
        <v>447.03935811476902</v>
      </c>
      <c r="V11" s="10">
        <f t="shared" si="3"/>
        <v>2017</v>
      </c>
      <c r="W11" s="12"/>
      <c r="X11" s="11">
        <f t="shared" si="4"/>
        <v>41.700172130469603</v>
      </c>
      <c r="Y11" s="10">
        <f t="shared" si="5"/>
        <v>2023</v>
      </c>
      <c r="Z11" s="12"/>
      <c r="AA11" s="10">
        <f t="shared" si="15"/>
        <v>144</v>
      </c>
      <c r="AB11" s="11">
        <f t="shared" si="6"/>
        <v>246.947055827486</v>
      </c>
      <c r="AC11" s="28">
        <f t="shared" ca="1" si="25"/>
        <v>166.96166510595449</v>
      </c>
      <c r="AD11" s="11">
        <f t="shared" si="7"/>
        <v>208.45174975728199</v>
      </c>
      <c r="AE11" s="15" t="str">
        <f t="shared" si="8"/>
        <v>2021, 2010</v>
      </c>
      <c r="AF11" s="12"/>
      <c r="AG11" s="10">
        <f t="shared" si="9"/>
        <v>130</v>
      </c>
      <c r="AH11" s="10">
        <f t="shared" si="26"/>
        <v>147</v>
      </c>
      <c r="AI11" s="14" t="str">
        <f t="shared" si="16"/>
        <v>F130:F147</v>
      </c>
      <c r="AJ11" s="12"/>
      <c r="AK11" s="11">
        <f t="shared" si="10"/>
        <v>185.69022253382929</v>
      </c>
      <c r="AL11" s="10">
        <f t="shared" ca="1" si="11"/>
        <v>2019</v>
      </c>
      <c r="AM11" s="10">
        <f t="shared" ca="1" si="11"/>
        <v>2018</v>
      </c>
      <c r="AN11" s="12"/>
      <c r="AO11" s="11">
        <f t="shared" ca="1" si="17"/>
        <v>101.97244989618835</v>
      </c>
      <c r="AP11" s="11">
        <f t="shared" ca="1" si="18"/>
        <v>155.09848756497277</v>
      </c>
      <c r="AQ11" s="11">
        <f t="shared" ca="1" si="19"/>
        <v>216.2819575026858</v>
      </c>
      <c r="AR11" s="11">
        <f t="shared" ca="1" si="20"/>
        <v>136.36993013709798</v>
      </c>
      <c r="AS11" s="11">
        <f t="shared" ca="1" si="21"/>
        <v>197.55340007481101</v>
      </c>
    </row>
    <row r="12" spans="1:45" x14ac:dyDescent="0.25">
      <c r="A12" s="2">
        <f t="shared" si="0"/>
        <v>9</v>
      </c>
      <c r="B12" s="2">
        <f t="shared" si="22"/>
        <v>9</v>
      </c>
      <c r="C12" s="1">
        <v>43496</v>
      </c>
      <c r="D12" s="2">
        <v>1</v>
      </c>
      <c r="E12" s="3">
        <v>67.666736271654401</v>
      </c>
      <c r="F12" s="3">
        <v>111.321818380004</v>
      </c>
      <c r="G12" s="2">
        <v>2019</v>
      </c>
      <c r="H12" s="15" t="str">
        <f t="shared" ca="1" si="12"/>
        <v>AVG</v>
      </c>
      <c r="I12" s="15" t="str">
        <f t="shared" ca="1" si="13"/>
        <v>AVG</v>
      </c>
      <c r="N12" s="25">
        <f>N11+1</f>
        <v>9</v>
      </c>
      <c r="O12" s="26">
        <f t="shared" ca="1" si="1"/>
        <v>5</v>
      </c>
      <c r="P12" s="26">
        <f t="shared" ca="1" si="1"/>
        <v>4</v>
      </c>
      <c r="Q12" s="26">
        <f t="shared" ca="1" si="1"/>
        <v>9</v>
      </c>
      <c r="R12" s="26">
        <f t="shared" ca="1" si="14"/>
        <v>18</v>
      </c>
      <c r="S12" s="5"/>
      <c r="T12" s="10">
        <f>T11+1</f>
        <v>9</v>
      </c>
      <c r="U12" s="11">
        <f t="shared" si="2"/>
        <v>254.547112047799</v>
      </c>
      <c r="V12" s="10">
        <f t="shared" si="3"/>
        <v>2018</v>
      </c>
      <c r="W12" s="12"/>
      <c r="X12" s="11">
        <f t="shared" si="4"/>
        <v>34.380560690322604</v>
      </c>
      <c r="Y12" s="10">
        <f t="shared" si="5"/>
        <v>2017</v>
      </c>
      <c r="Z12" s="12"/>
      <c r="AA12" s="10">
        <f t="shared" si="15"/>
        <v>162</v>
      </c>
      <c r="AB12" s="11">
        <f t="shared" si="6"/>
        <v>167.97720709618301</v>
      </c>
      <c r="AC12" s="28">
        <f t="shared" ca="1" si="25"/>
        <v>118.389990160187</v>
      </c>
      <c r="AD12" s="11">
        <f t="shared" si="7"/>
        <v>133.65835142389901</v>
      </c>
      <c r="AE12" s="15" t="str">
        <f t="shared" si="8"/>
        <v>2009, 2007</v>
      </c>
      <c r="AF12" s="12"/>
      <c r="AG12" s="10">
        <f t="shared" si="9"/>
        <v>148</v>
      </c>
      <c r="AH12" s="10">
        <f t="shared" si="26"/>
        <v>165</v>
      </c>
      <c r="AI12" s="14" t="str">
        <f t="shared" si="16"/>
        <v>F148:F165</v>
      </c>
      <c r="AJ12" s="12"/>
      <c r="AK12" s="11">
        <f t="shared" si="10"/>
        <v>134.09155590163368</v>
      </c>
      <c r="AL12" s="10">
        <f t="shared" ca="1" si="11"/>
        <v>2015</v>
      </c>
      <c r="AM12" s="10">
        <f t="shared" ca="1" si="11"/>
        <v>2020</v>
      </c>
      <c r="AN12" s="12"/>
      <c r="AO12" s="11">
        <f t="shared" ca="1" si="17"/>
        <v>67.18447475602872</v>
      </c>
      <c r="AP12" s="11">
        <f t="shared" ca="1" si="18"/>
        <v>113.93621347482507</v>
      </c>
      <c r="AQ12" s="11">
        <f t="shared" ca="1" si="19"/>
        <v>154.24689832844228</v>
      </c>
      <c r="AR12" s="11">
        <f t="shared" ca="1" si="20"/>
        <v>98.234647733378381</v>
      </c>
      <c r="AS12" s="11">
        <f t="shared" ca="1" si="21"/>
        <v>138.54533258699561</v>
      </c>
    </row>
    <row r="13" spans="1:45" x14ac:dyDescent="0.25">
      <c r="A13" s="2">
        <f t="shared" si="0"/>
        <v>10</v>
      </c>
      <c r="B13" s="2">
        <f t="shared" si="22"/>
        <v>10</v>
      </c>
      <c r="C13" s="1">
        <v>42400</v>
      </c>
      <c r="D13" s="2">
        <v>1</v>
      </c>
      <c r="E13" s="3">
        <v>65.535659233349193</v>
      </c>
      <c r="F13" s="3">
        <v>107.815880542842</v>
      </c>
      <c r="G13" s="2">
        <v>2016</v>
      </c>
      <c r="H13" s="15" t="str">
        <f t="shared" ca="1" si="12"/>
        <v>AVG</v>
      </c>
      <c r="I13" s="15" t="str">
        <f t="shared" ca="1" si="13"/>
        <v>AVG</v>
      </c>
      <c r="N13" s="25">
        <f t="shared" ref="N13:N15" si="27">N12+1</f>
        <v>10</v>
      </c>
      <c r="O13" s="26">
        <f t="shared" ca="1" si="1"/>
        <v>6</v>
      </c>
      <c r="P13" s="26">
        <f t="shared" ca="1" si="1"/>
        <v>4</v>
      </c>
      <c r="Q13" s="26">
        <f t="shared" ca="1" si="1"/>
        <v>8</v>
      </c>
      <c r="R13" s="26">
        <f t="shared" ca="1" si="14"/>
        <v>18</v>
      </c>
      <c r="S13" s="5"/>
      <c r="T13" s="10">
        <f t="shared" ref="T13:T15" si="28">T12+1</f>
        <v>10</v>
      </c>
      <c r="U13" s="11">
        <f t="shared" si="2"/>
        <v>263.02130420049502</v>
      </c>
      <c r="V13" s="10">
        <f t="shared" si="3"/>
        <v>2009</v>
      </c>
      <c r="W13" s="12"/>
      <c r="X13" s="11">
        <f t="shared" si="4"/>
        <v>6.0838750484170996</v>
      </c>
      <c r="Y13" s="10">
        <f t="shared" si="5"/>
        <v>2016</v>
      </c>
      <c r="Z13" s="12"/>
      <c r="AA13" s="10">
        <f t="shared" si="15"/>
        <v>180</v>
      </c>
      <c r="AB13" s="11">
        <f t="shared" si="6"/>
        <v>149.24153165138799</v>
      </c>
      <c r="AC13" s="28">
        <f t="shared" ca="1" si="25"/>
        <v>91.690941032081838</v>
      </c>
      <c r="AD13" s="11">
        <f t="shared" si="7"/>
        <v>122.27085101511901</v>
      </c>
      <c r="AE13" s="15" t="str">
        <f t="shared" si="8"/>
        <v>2020, 2017</v>
      </c>
      <c r="AF13" s="12"/>
      <c r="AG13" s="10">
        <f t="shared" si="9"/>
        <v>166</v>
      </c>
      <c r="AH13" s="10">
        <f t="shared" si="26"/>
        <v>183</v>
      </c>
      <c r="AI13" s="14" t="str">
        <f t="shared" si="16"/>
        <v>F166:F183</v>
      </c>
      <c r="AJ13" s="12"/>
      <c r="AK13" s="11">
        <f t="shared" si="10"/>
        <v>105.8367836882889</v>
      </c>
      <c r="AL13" s="10">
        <f t="shared" ca="1" si="11"/>
        <v>2019</v>
      </c>
      <c r="AM13" s="10">
        <f t="shared" ca="1" si="11"/>
        <v>2018</v>
      </c>
      <c r="AN13" s="12"/>
      <c r="AO13" s="11">
        <f t="shared" ca="1" si="17"/>
        <v>82.003182454329746</v>
      </c>
      <c r="AP13" s="11">
        <f t="shared" ca="1" si="18"/>
        <v>81.235828951989987</v>
      </c>
      <c r="AQ13" s="11">
        <f t="shared" ca="1" si="19"/>
        <v>130.43773842458782</v>
      </c>
      <c r="AR13" s="11">
        <f t="shared" ca="1" si="20"/>
        <v>67.089986295782921</v>
      </c>
      <c r="AS13" s="11">
        <f t="shared" ca="1" si="21"/>
        <v>116.29189576838075</v>
      </c>
    </row>
    <row r="14" spans="1:45" x14ac:dyDescent="0.25">
      <c r="A14" s="2">
        <f t="shared" si="0"/>
        <v>11</v>
      </c>
      <c r="B14" s="2">
        <f t="shared" si="22"/>
        <v>11</v>
      </c>
      <c r="C14" s="55">
        <v>40574</v>
      </c>
      <c r="D14" s="54">
        <v>1</v>
      </c>
      <c r="E14" s="56">
        <v>63.903474579333498</v>
      </c>
      <c r="F14" s="56">
        <v>105.13069468006501</v>
      </c>
      <c r="G14" s="54">
        <v>2011</v>
      </c>
      <c r="H14" s="15" t="str">
        <f t="shared" ca="1" si="12"/>
        <v>AVG</v>
      </c>
      <c r="I14" s="15" t="str">
        <f t="shared" ca="1" si="13"/>
        <v>AVG</v>
      </c>
      <c r="K14" s="29" t="s">
        <v>49</v>
      </c>
      <c r="N14" s="25">
        <f t="shared" si="27"/>
        <v>11</v>
      </c>
      <c r="O14" s="26">
        <f t="shared" ca="1" si="1"/>
        <v>4</v>
      </c>
      <c r="P14" s="26">
        <f t="shared" ca="1" si="1"/>
        <v>6</v>
      </c>
      <c r="Q14" s="26">
        <f t="shared" ca="1" si="1"/>
        <v>8</v>
      </c>
      <c r="R14" s="26">
        <f t="shared" ca="1" si="14"/>
        <v>18</v>
      </c>
      <c r="S14" s="5"/>
      <c r="T14" s="10">
        <f t="shared" si="28"/>
        <v>11</v>
      </c>
      <c r="U14" s="11">
        <f t="shared" si="2"/>
        <v>179.09814603506601</v>
      </c>
      <c r="V14" s="10">
        <f t="shared" si="3"/>
        <v>2022</v>
      </c>
      <c r="W14" s="12"/>
      <c r="X14" s="11">
        <f t="shared" si="4"/>
        <v>27.1824452702974</v>
      </c>
      <c r="Y14" s="10">
        <f t="shared" si="5"/>
        <v>2021</v>
      </c>
      <c r="Z14" s="12"/>
      <c r="AA14" s="10">
        <f t="shared" si="15"/>
        <v>198</v>
      </c>
      <c r="AB14" s="11">
        <f t="shared" si="6"/>
        <v>88.044002000544495</v>
      </c>
      <c r="AC14" s="28">
        <f t="shared" ca="1" si="25"/>
        <v>70.503890608937894</v>
      </c>
      <c r="AD14" s="11">
        <f t="shared" si="7"/>
        <v>84.164377732536096</v>
      </c>
      <c r="AE14" s="15" t="str">
        <f t="shared" si="8"/>
        <v>2007, 2006</v>
      </c>
      <c r="AF14" s="12"/>
      <c r="AG14" s="10">
        <f t="shared" si="9"/>
        <v>184</v>
      </c>
      <c r="AH14" s="10">
        <f t="shared" si="26"/>
        <v>201</v>
      </c>
      <c r="AI14" s="14" t="str">
        <f t="shared" si="16"/>
        <v>F184:F201</v>
      </c>
      <c r="AJ14" s="12"/>
      <c r="AK14" s="11">
        <f t="shared" si="10"/>
        <v>83.71121954283052</v>
      </c>
      <c r="AL14" s="10">
        <f t="shared" ca="1" si="11"/>
        <v>2018</v>
      </c>
      <c r="AM14" s="10">
        <f t="shared" ca="1" si="11"/>
        <v>2015</v>
      </c>
      <c r="AN14" s="12"/>
      <c r="AO14" s="11">
        <f t="shared" ca="1" si="17"/>
        <v>45.834956944150214</v>
      </c>
      <c r="AP14" s="11">
        <f t="shared" ca="1" si="18"/>
        <v>69.960732459585458</v>
      </c>
      <c r="AQ14" s="11">
        <f t="shared" ca="1" si="19"/>
        <v>97.461706626075582</v>
      </c>
      <c r="AR14" s="11">
        <f t="shared" ca="1" si="20"/>
        <v>56.753403525692832</v>
      </c>
      <c r="AS14" s="11">
        <f t="shared" ca="1" si="21"/>
        <v>84.254377692182956</v>
      </c>
    </row>
    <row r="15" spans="1:45" x14ac:dyDescent="0.25">
      <c r="A15" s="2">
        <f t="shared" si="0"/>
        <v>12</v>
      </c>
      <c r="B15" s="2">
        <f t="shared" si="22"/>
        <v>12</v>
      </c>
      <c r="C15" s="1">
        <v>40939</v>
      </c>
      <c r="D15" s="2">
        <v>1</v>
      </c>
      <c r="E15" s="3">
        <v>61.046892356400498</v>
      </c>
      <c r="F15" s="3">
        <v>100.43119319779601</v>
      </c>
      <c r="G15" s="2">
        <v>2012</v>
      </c>
      <c r="H15" s="15" t="str">
        <f t="shared" ca="1" si="12"/>
        <v>DRY</v>
      </c>
      <c r="I15" s="15" t="str">
        <f t="shared" ca="1" si="13"/>
        <v>AVG</v>
      </c>
      <c r="N15" s="25">
        <f t="shared" si="27"/>
        <v>12</v>
      </c>
      <c r="O15" s="26">
        <f t="shared" ca="1" si="1"/>
        <v>6</v>
      </c>
      <c r="P15" s="26">
        <f t="shared" ca="1" si="1"/>
        <v>4</v>
      </c>
      <c r="Q15" s="26">
        <f t="shared" ca="1" si="1"/>
        <v>8</v>
      </c>
      <c r="R15" s="26">
        <f t="shared" ca="1" si="14"/>
        <v>18</v>
      </c>
      <c r="S15" s="5"/>
      <c r="T15" s="10">
        <f t="shared" si="28"/>
        <v>12</v>
      </c>
      <c r="U15" s="11">
        <f t="shared" si="2"/>
        <v>307.019610167802</v>
      </c>
      <c r="V15" s="10">
        <f t="shared" si="3"/>
        <v>2009</v>
      </c>
      <c r="W15" s="12"/>
      <c r="X15" s="11">
        <f t="shared" si="4"/>
        <v>64.757399765034293</v>
      </c>
      <c r="Y15" s="10">
        <f t="shared" si="5"/>
        <v>2010</v>
      </c>
      <c r="Z15" s="12"/>
      <c r="AA15" s="10">
        <f t="shared" si="15"/>
        <v>216</v>
      </c>
      <c r="AB15" s="11">
        <f t="shared" si="6"/>
        <v>159.901669017508</v>
      </c>
      <c r="AC15" s="28">
        <f t="shared" ca="1" si="25"/>
        <v>116.8801050934085</v>
      </c>
      <c r="AD15" s="11">
        <f t="shared" si="7"/>
        <v>146.87100376337099</v>
      </c>
      <c r="AE15" s="15" t="str">
        <f t="shared" si="8"/>
        <v>2022, 2023</v>
      </c>
      <c r="AF15" s="12"/>
      <c r="AG15" s="10">
        <f t="shared" si="9"/>
        <v>202</v>
      </c>
      <c r="AH15" s="10">
        <f t="shared" si="26"/>
        <v>219</v>
      </c>
      <c r="AI15" s="14" t="str">
        <f t="shared" si="16"/>
        <v>F202:F219</v>
      </c>
      <c r="AJ15" s="12"/>
      <c r="AK15" s="11">
        <f t="shared" si="10"/>
        <v>131.2736815805527</v>
      </c>
      <c r="AL15" s="10">
        <f t="shared" ca="1" si="11"/>
        <v>2018</v>
      </c>
      <c r="AM15" s="10">
        <f t="shared" ca="1" si="11"/>
        <v>2015</v>
      </c>
      <c r="AN15" s="12"/>
      <c r="AO15" s="11">
        <f t="shared" ca="1" si="17"/>
        <v>61.687250466919977</v>
      </c>
      <c r="AP15" s="11">
        <f t="shared" ca="1" si="18"/>
        <v>112.76750644047671</v>
      </c>
      <c r="AQ15" s="11">
        <f t="shared" ca="1" si="19"/>
        <v>149.77985672062869</v>
      </c>
      <c r="AR15" s="11">
        <f t="shared" ca="1" si="20"/>
        <v>98.373929953332507</v>
      </c>
      <c r="AS15" s="11">
        <f t="shared" ca="1" si="21"/>
        <v>135.38628023348448</v>
      </c>
    </row>
    <row r="16" spans="1:45" x14ac:dyDescent="0.25">
      <c r="A16" s="2">
        <f t="shared" si="0"/>
        <v>13</v>
      </c>
      <c r="B16" s="2">
        <f t="shared" si="22"/>
        <v>13</v>
      </c>
      <c r="C16" s="1">
        <v>40209</v>
      </c>
      <c r="D16" s="2">
        <v>1</v>
      </c>
      <c r="E16" s="3">
        <v>54.764950628098703</v>
      </c>
      <c r="F16" s="3">
        <v>90.096467235186196</v>
      </c>
      <c r="G16" s="2">
        <v>2010</v>
      </c>
      <c r="H16" s="15" t="str">
        <f t="shared" ca="1" si="12"/>
        <v>DRY</v>
      </c>
      <c r="I16" s="15" t="str">
        <f t="shared" ca="1" si="13"/>
        <v>DRY</v>
      </c>
      <c r="O16" s="4"/>
      <c r="S16" s="5"/>
    </row>
    <row r="17" spans="1:45" x14ac:dyDescent="0.25">
      <c r="A17" s="2">
        <f t="shared" si="0"/>
        <v>14</v>
      </c>
      <c r="B17" s="2">
        <f t="shared" si="22"/>
        <v>14</v>
      </c>
      <c r="C17" s="1">
        <v>38748</v>
      </c>
      <c r="D17" s="2">
        <v>1</v>
      </c>
      <c r="E17" s="3">
        <v>45.6844420247809</v>
      </c>
      <c r="F17" s="3">
        <v>75.157683643224303</v>
      </c>
      <c r="G17" s="2">
        <v>2006</v>
      </c>
      <c r="H17" s="15" t="str">
        <f t="shared" ca="1" si="12"/>
        <v>DRY</v>
      </c>
      <c r="I17" s="15" t="str">
        <f t="shared" ca="1" si="13"/>
        <v>DRY</v>
      </c>
      <c r="N17" s="60" t="s">
        <v>34</v>
      </c>
      <c r="O17" s="61"/>
      <c r="P17" s="61"/>
      <c r="Q17" s="61"/>
      <c r="R17" s="62"/>
      <c r="S17" s="5"/>
      <c r="T17" s="17">
        <v>1</v>
      </c>
      <c r="U17" s="15">
        <f>T17+1</f>
        <v>2</v>
      </c>
      <c r="V17" s="15">
        <f t="shared" ref="V17:AS17" si="29">U17+1</f>
        <v>3</v>
      </c>
      <c r="W17" s="15">
        <f t="shared" si="29"/>
        <v>4</v>
      </c>
      <c r="X17" s="15">
        <f t="shared" si="29"/>
        <v>5</v>
      </c>
      <c r="Y17" s="15">
        <f t="shared" si="29"/>
        <v>6</v>
      </c>
      <c r="Z17" s="15">
        <f t="shared" si="29"/>
        <v>7</v>
      </c>
      <c r="AA17" s="15">
        <f t="shared" si="29"/>
        <v>8</v>
      </c>
      <c r="AB17" s="15">
        <f t="shared" si="29"/>
        <v>9</v>
      </c>
      <c r="AC17" s="15">
        <f t="shared" si="29"/>
        <v>10</v>
      </c>
      <c r="AD17" s="15">
        <f t="shared" si="29"/>
        <v>11</v>
      </c>
      <c r="AE17" s="15">
        <f t="shared" si="29"/>
        <v>12</v>
      </c>
      <c r="AF17" s="15">
        <f t="shared" si="29"/>
        <v>13</v>
      </c>
      <c r="AG17" s="15">
        <f t="shared" si="29"/>
        <v>14</v>
      </c>
      <c r="AH17" s="15">
        <f t="shared" si="29"/>
        <v>15</v>
      </c>
      <c r="AI17" s="15">
        <f t="shared" si="29"/>
        <v>16</v>
      </c>
      <c r="AJ17" s="15">
        <f t="shared" si="29"/>
        <v>17</v>
      </c>
      <c r="AK17" s="15">
        <f t="shared" si="29"/>
        <v>18</v>
      </c>
      <c r="AL17" s="15">
        <f t="shared" si="29"/>
        <v>19</v>
      </c>
      <c r="AM17" s="15">
        <f t="shared" si="29"/>
        <v>20</v>
      </c>
      <c r="AN17" s="15">
        <f t="shared" si="29"/>
        <v>21</v>
      </c>
      <c r="AO17" s="15">
        <f t="shared" si="29"/>
        <v>22</v>
      </c>
      <c r="AP17" s="15">
        <f t="shared" si="29"/>
        <v>23</v>
      </c>
      <c r="AQ17" s="15">
        <f t="shared" si="29"/>
        <v>24</v>
      </c>
      <c r="AR17" s="15">
        <f t="shared" si="29"/>
        <v>25</v>
      </c>
      <c r="AS17" s="15">
        <f t="shared" si="29"/>
        <v>26</v>
      </c>
    </row>
    <row r="18" spans="1:45" x14ac:dyDescent="0.25">
      <c r="A18" s="2">
        <f t="shared" si="0"/>
        <v>15</v>
      </c>
      <c r="B18" s="2">
        <f t="shared" si="22"/>
        <v>15</v>
      </c>
      <c r="C18" s="19">
        <v>44592</v>
      </c>
      <c r="D18" s="18">
        <v>1</v>
      </c>
      <c r="E18" s="20">
        <v>38.630373788054499</v>
      </c>
      <c r="F18" s="20">
        <v>63.552695042378197</v>
      </c>
      <c r="G18" s="18">
        <v>2022</v>
      </c>
      <c r="H18" s="15" t="str">
        <f t="shared" ca="1" si="12"/>
        <v>DRY</v>
      </c>
      <c r="I18" s="15" t="str">
        <f t="shared" ca="1" si="13"/>
        <v>DRY</v>
      </c>
      <c r="K18" s="30" t="s">
        <v>50</v>
      </c>
      <c r="N18" s="45" t="s">
        <v>5</v>
      </c>
      <c r="O18" s="46" t="s">
        <v>25</v>
      </c>
      <c r="P18" s="46" t="s">
        <v>26</v>
      </c>
      <c r="Q18" s="46" t="s">
        <v>27</v>
      </c>
      <c r="R18" s="46" t="s">
        <v>28</v>
      </c>
      <c r="S18" s="5"/>
    </row>
    <row r="19" spans="1:45" x14ac:dyDescent="0.25">
      <c r="A19" s="2">
        <f t="shared" si="0"/>
        <v>16</v>
      </c>
      <c r="B19" s="2">
        <f t="shared" si="22"/>
        <v>16</v>
      </c>
      <c r="C19" s="1">
        <v>44227</v>
      </c>
      <c r="D19" s="2">
        <v>1</v>
      </c>
      <c r="E19" s="3">
        <v>38.229242130718802</v>
      </c>
      <c r="F19" s="3">
        <v>62.892773964980201</v>
      </c>
      <c r="G19" s="2">
        <v>2021</v>
      </c>
      <c r="H19" s="15" t="str">
        <f t="shared" ca="1" si="12"/>
        <v>DRY</v>
      </c>
      <c r="I19" s="15" t="str">
        <f t="shared" ca="1" si="13"/>
        <v>DRY</v>
      </c>
      <c r="N19" s="10">
        <v>1</v>
      </c>
      <c r="O19" s="2">
        <f t="shared" ref="O19:Q30" ca="1" si="30">COUNTIFS($D$4:$D$541,$N19,$I$4:$I$541,O$18)</f>
        <v>8</v>
      </c>
      <c r="P19" s="2">
        <f t="shared" ca="1" si="30"/>
        <v>4</v>
      </c>
      <c r="Q19" s="2">
        <f t="shared" ca="1" si="30"/>
        <v>6</v>
      </c>
      <c r="R19" s="2">
        <f ca="1">SUM(O19:Q19)</f>
        <v>18</v>
      </c>
      <c r="S19" s="5"/>
      <c r="AB19" s="45" t="s">
        <v>5</v>
      </c>
      <c r="AC19" s="45" t="s">
        <v>35</v>
      </c>
    </row>
    <row r="20" spans="1:45" x14ac:dyDescent="0.25">
      <c r="A20" s="2">
        <f t="shared" si="0"/>
        <v>17</v>
      </c>
      <c r="B20" s="2">
        <f t="shared" si="22"/>
        <v>17</v>
      </c>
      <c r="C20" s="1">
        <v>39844</v>
      </c>
      <c r="D20" s="2">
        <v>1</v>
      </c>
      <c r="E20" s="3">
        <v>37.566363385810398</v>
      </c>
      <c r="F20" s="3">
        <v>61.8022401027821</v>
      </c>
      <c r="G20" s="2">
        <v>2009</v>
      </c>
      <c r="H20" s="15" t="str">
        <f t="shared" ca="1" si="12"/>
        <v>DRY</v>
      </c>
      <c r="I20" s="15" t="str">
        <f t="shared" ca="1" si="13"/>
        <v>DRY</v>
      </c>
      <c r="N20" s="10">
        <f>N19+1</f>
        <v>2</v>
      </c>
      <c r="O20" s="2">
        <f t="shared" ca="1" si="30"/>
        <v>5</v>
      </c>
      <c r="P20" s="2">
        <f t="shared" ca="1" si="30"/>
        <v>5</v>
      </c>
      <c r="Q20" s="2">
        <f t="shared" ca="1" si="30"/>
        <v>8</v>
      </c>
      <c r="R20" s="2">
        <f t="shared" ref="R20:R30" ca="1" si="31">SUM(O20:Q20)</f>
        <v>18</v>
      </c>
      <c r="S20" s="5"/>
      <c r="AB20" s="13" t="s">
        <v>36</v>
      </c>
      <c r="AC20" s="13" t="s">
        <v>36</v>
      </c>
    </row>
    <row r="21" spans="1:45" x14ac:dyDescent="0.25">
      <c r="A21" s="2">
        <f t="shared" si="0"/>
        <v>18</v>
      </c>
      <c r="B21" s="2">
        <f t="shared" si="22"/>
        <v>18</v>
      </c>
      <c r="C21" s="1">
        <v>41670</v>
      </c>
      <c r="D21" s="2">
        <v>1</v>
      </c>
      <c r="E21" s="3">
        <v>35.415377421889801</v>
      </c>
      <c r="F21" s="3">
        <v>58.263549129831901</v>
      </c>
      <c r="G21" s="2">
        <v>2014</v>
      </c>
      <c r="H21" s="15" t="str">
        <f t="shared" ca="1" si="12"/>
        <v>DRY</v>
      </c>
      <c r="I21" s="15" t="str">
        <f t="shared" ca="1" si="13"/>
        <v>DRY</v>
      </c>
      <c r="N21" s="10">
        <f t="shared" ref="N21:N26" si="32">N20+1</f>
        <v>3</v>
      </c>
      <c r="O21" s="2">
        <f t="shared" ca="1" si="30"/>
        <v>5</v>
      </c>
      <c r="P21" s="2">
        <f t="shared" ca="1" si="30"/>
        <v>6</v>
      </c>
      <c r="Q21" s="2">
        <f t="shared" ca="1" si="30"/>
        <v>7</v>
      </c>
      <c r="R21" s="2">
        <f t="shared" ca="1" si="31"/>
        <v>18</v>
      </c>
      <c r="S21" s="5"/>
      <c r="AB21" s="2">
        <f>T5</f>
        <v>2</v>
      </c>
      <c r="AC21" s="3">
        <f>AB5-AD5</f>
        <v>44.451434899161683</v>
      </c>
    </row>
    <row r="22" spans="1:45" x14ac:dyDescent="0.25">
      <c r="A22" s="2">
        <f t="shared" si="0"/>
        <v>1</v>
      </c>
      <c r="B22" s="2">
        <f t="shared" si="22"/>
        <v>19</v>
      </c>
      <c r="C22" s="1">
        <v>41333</v>
      </c>
      <c r="D22" s="2">
        <v>2</v>
      </c>
      <c r="E22" s="3">
        <v>99.039478280825804</v>
      </c>
      <c r="F22" s="3">
        <v>162.934632599488</v>
      </c>
      <c r="G22" s="2">
        <v>2013</v>
      </c>
      <c r="H22" s="15" t="str">
        <f t="shared" ca="1" si="12"/>
        <v>WET</v>
      </c>
      <c r="I22" s="15" t="str">
        <f t="shared" ca="1" si="13"/>
        <v>WET</v>
      </c>
      <c r="N22" s="10">
        <f t="shared" si="32"/>
        <v>4</v>
      </c>
      <c r="O22" s="2">
        <f t="shared" ca="1" si="30"/>
        <v>6</v>
      </c>
      <c r="P22" s="2">
        <f t="shared" ca="1" si="30"/>
        <v>7</v>
      </c>
      <c r="Q22" s="2">
        <f t="shared" ca="1" si="30"/>
        <v>5</v>
      </c>
      <c r="R22" s="2">
        <f t="shared" ca="1" si="31"/>
        <v>18</v>
      </c>
      <c r="S22" s="5"/>
      <c r="AB22" s="2">
        <f t="shared" ref="AB22:AB31" si="33">T6</f>
        <v>3</v>
      </c>
      <c r="AC22" s="3">
        <f t="shared" ref="AC22:AC31" si="34">AB6-AD6</f>
        <v>34.284795496952</v>
      </c>
    </row>
    <row r="23" spans="1:45" x14ac:dyDescent="0.25">
      <c r="A23" s="2">
        <f t="shared" si="0"/>
        <v>2</v>
      </c>
      <c r="B23" s="2">
        <f t="shared" si="22"/>
        <v>20</v>
      </c>
      <c r="C23" s="1">
        <v>40237</v>
      </c>
      <c r="D23" s="2">
        <v>2</v>
      </c>
      <c r="E23" s="3">
        <v>98.702768978439906</v>
      </c>
      <c r="F23" s="3">
        <v>162.380695851946</v>
      </c>
      <c r="G23" s="2">
        <v>2010</v>
      </c>
      <c r="H23" s="15" t="str">
        <f t="shared" ca="1" si="12"/>
        <v>WET</v>
      </c>
      <c r="I23" s="15" t="str">
        <f t="shared" ca="1" si="13"/>
        <v>WET</v>
      </c>
      <c r="N23" s="10">
        <f t="shared" si="32"/>
        <v>5</v>
      </c>
      <c r="O23" s="2">
        <f t="shared" ca="1" si="30"/>
        <v>6</v>
      </c>
      <c r="P23" s="2">
        <f t="shared" ca="1" si="30"/>
        <v>5</v>
      </c>
      <c r="Q23" s="2">
        <f t="shared" ca="1" si="30"/>
        <v>7</v>
      </c>
      <c r="R23" s="2">
        <f t="shared" ca="1" si="31"/>
        <v>18</v>
      </c>
      <c r="S23" s="5"/>
      <c r="AB23" s="2">
        <f t="shared" si="33"/>
        <v>4</v>
      </c>
      <c r="AC23" s="3">
        <f t="shared" si="34"/>
        <v>43.982403440338999</v>
      </c>
    </row>
    <row r="24" spans="1:45" x14ac:dyDescent="0.25">
      <c r="A24" s="2">
        <f t="shared" si="0"/>
        <v>3</v>
      </c>
      <c r="B24" s="2">
        <f t="shared" si="22"/>
        <v>21</v>
      </c>
      <c r="C24" s="1">
        <v>40968</v>
      </c>
      <c r="D24" s="2">
        <v>2</v>
      </c>
      <c r="E24" s="3">
        <v>97.294731132399406</v>
      </c>
      <c r="F24" s="3">
        <v>160.06426473666599</v>
      </c>
      <c r="G24" s="2">
        <v>2012</v>
      </c>
      <c r="H24" s="15" t="str">
        <f t="shared" ca="1" si="12"/>
        <v>WET</v>
      </c>
      <c r="I24" s="15" t="str">
        <f t="shared" ca="1" si="13"/>
        <v>WET</v>
      </c>
      <c r="N24" s="10">
        <f t="shared" si="32"/>
        <v>6</v>
      </c>
      <c r="O24" s="2">
        <f t="shared" ca="1" si="30"/>
        <v>7</v>
      </c>
      <c r="P24" s="2">
        <f t="shared" ca="1" si="30"/>
        <v>4</v>
      </c>
      <c r="Q24" s="2">
        <f t="shared" ca="1" si="30"/>
        <v>7</v>
      </c>
      <c r="R24" s="2">
        <f t="shared" ca="1" si="31"/>
        <v>18</v>
      </c>
      <c r="S24" s="5"/>
      <c r="AB24" s="2">
        <f t="shared" si="33"/>
        <v>5</v>
      </c>
      <c r="AC24" s="3">
        <f t="shared" si="34"/>
        <v>24.759963516813002</v>
      </c>
    </row>
    <row r="25" spans="1:45" x14ac:dyDescent="0.25">
      <c r="A25" s="2">
        <f t="shared" si="0"/>
        <v>4</v>
      </c>
      <c r="B25" s="2">
        <f t="shared" si="22"/>
        <v>22</v>
      </c>
      <c r="C25" s="1">
        <v>41698</v>
      </c>
      <c r="D25" s="2">
        <v>2</v>
      </c>
      <c r="E25" s="3">
        <v>91.470652062549902</v>
      </c>
      <c r="F25" s="3">
        <v>150.482790763373</v>
      </c>
      <c r="G25" s="2">
        <v>2014</v>
      </c>
      <c r="H25" s="15" t="str">
        <f t="shared" ca="1" si="12"/>
        <v>WET</v>
      </c>
      <c r="I25" s="15" t="str">
        <f t="shared" ca="1" si="13"/>
        <v>WET</v>
      </c>
      <c r="N25" s="10">
        <f t="shared" si="32"/>
        <v>7</v>
      </c>
      <c r="O25" s="2">
        <f t="shared" ca="1" si="30"/>
        <v>8</v>
      </c>
      <c r="P25" s="2">
        <f t="shared" ca="1" si="30"/>
        <v>3</v>
      </c>
      <c r="Q25" s="2">
        <f t="shared" ca="1" si="30"/>
        <v>7</v>
      </c>
      <c r="R25" s="2">
        <f t="shared" ca="1" si="31"/>
        <v>18</v>
      </c>
      <c r="S25" s="5"/>
      <c r="AB25" s="2">
        <f t="shared" si="33"/>
        <v>6</v>
      </c>
      <c r="AC25" s="3">
        <f t="shared" si="34"/>
        <v>20.361784380485005</v>
      </c>
    </row>
    <row r="26" spans="1:45" x14ac:dyDescent="0.25">
      <c r="A26" s="2">
        <f t="shared" si="0"/>
        <v>5</v>
      </c>
      <c r="B26" s="2">
        <f t="shared" si="22"/>
        <v>23</v>
      </c>
      <c r="C26" s="1">
        <v>43159</v>
      </c>
      <c r="D26" s="2">
        <v>2</v>
      </c>
      <c r="E26" s="3">
        <v>86.791606145444604</v>
      </c>
      <c r="F26" s="3">
        <v>142.78506617259899</v>
      </c>
      <c r="G26" s="2">
        <v>2018</v>
      </c>
      <c r="H26" s="15" t="str">
        <f t="shared" ca="1" si="12"/>
        <v>WET</v>
      </c>
      <c r="I26" s="15" t="str">
        <f t="shared" ca="1" si="13"/>
        <v>WET</v>
      </c>
      <c r="N26" s="10">
        <f t="shared" si="32"/>
        <v>8</v>
      </c>
      <c r="O26" s="2">
        <f t="shared" ca="1" si="30"/>
        <v>8</v>
      </c>
      <c r="P26" s="2">
        <f t="shared" ca="1" si="30"/>
        <v>4</v>
      </c>
      <c r="Q26" s="2">
        <f t="shared" ca="1" si="30"/>
        <v>6</v>
      </c>
      <c r="R26" s="2">
        <f t="shared" ca="1" si="31"/>
        <v>18</v>
      </c>
      <c r="S26" s="5"/>
      <c r="AB26" s="2">
        <f t="shared" si="33"/>
        <v>7</v>
      </c>
      <c r="AC26" s="3">
        <f t="shared" si="34"/>
        <v>7.5234012202219844</v>
      </c>
    </row>
    <row r="27" spans="1:45" x14ac:dyDescent="0.25">
      <c r="A27" s="2">
        <f t="shared" si="0"/>
        <v>6</v>
      </c>
      <c r="B27" s="2">
        <f t="shared" si="22"/>
        <v>24</v>
      </c>
      <c r="C27" s="1">
        <v>38776</v>
      </c>
      <c r="D27" s="2">
        <v>2</v>
      </c>
      <c r="E27" s="3">
        <v>60.116169170807403</v>
      </c>
      <c r="F27" s="3">
        <v>98.900015500490596</v>
      </c>
      <c r="G27" s="2">
        <v>2006</v>
      </c>
      <c r="H27" s="15" t="str">
        <f t="shared" ca="1" si="12"/>
        <v>AVG</v>
      </c>
      <c r="I27" s="15" t="str">
        <f t="shared" ca="1" si="13"/>
        <v>AVG</v>
      </c>
      <c r="N27" s="10">
        <f>N26+1</f>
        <v>9</v>
      </c>
      <c r="O27" s="2">
        <f t="shared" ca="1" si="30"/>
        <v>6</v>
      </c>
      <c r="P27" s="2">
        <f t="shared" ca="1" si="30"/>
        <v>7</v>
      </c>
      <c r="Q27" s="2">
        <f t="shared" ca="1" si="30"/>
        <v>5</v>
      </c>
      <c r="R27" s="2">
        <f t="shared" ca="1" si="31"/>
        <v>18</v>
      </c>
      <c r="S27" s="5"/>
      <c r="AB27" s="2">
        <f t="shared" si="33"/>
        <v>8</v>
      </c>
      <c r="AC27" s="3">
        <f t="shared" si="34"/>
        <v>38.495306070204009</v>
      </c>
    </row>
    <row r="28" spans="1:45" x14ac:dyDescent="0.25">
      <c r="A28" s="2">
        <f t="shared" si="0"/>
        <v>7</v>
      </c>
      <c r="B28" s="2">
        <f t="shared" si="22"/>
        <v>25</v>
      </c>
      <c r="C28" s="1">
        <v>44255</v>
      </c>
      <c r="D28" s="2">
        <v>2</v>
      </c>
      <c r="E28" s="3">
        <v>59.771893693833</v>
      </c>
      <c r="F28" s="3">
        <v>98.333631273437305</v>
      </c>
      <c r="G28" s="2">
        <v>2021</v>
      </c>
      <c r="H28" s="15" t="str">
        <f t="shared" ca="1" si="12"/>
        <v>AVG</v>
      </c>
      <c r="I28" s="15" t="str">
        <f t="shared" ca="1" si="13"/>
        <v>AVG</v>
      </c>
      <c r="K28" s="42"/>
      <c r="N28" s="10">
        <f t="shared" ref="N28:N30" si="35">N27+1</f>
        <v>10</v>
      </c>
      <c r="O28" s="2">
        <f t="shared" ca="1" si="30"/>
        <v>7</v>
      </c>
      <c r="P28" s="2">
        <f t="shared" ca="1" si="30"/>
        <v>4</v>
      </c>
      <c r="Q28" s="2">
        <f t="shared" ca="1" si="30"/>
        <v>7</v>
      </c>
      <c r="R28" s="2">
        <f t="shared" ca="1" si="31"/>
        <v>18</v>
      </c>
      <c r="S28" s="5"/>
      <c r="AB28" s="2">
        <f t="shared" si="33"/>
        <v>9</v>
      </c>
      <c r="AC28" s="3">
        <f t="shared" si="34"/>
        <v>34.318855672284002</v>
      </c>
    </row>
    <row r="29" spans="1:45" x14ac:dyDescent="0.25">
      <c r="A29" s="2">
        <f t="shared" si="0"/>
        <v>8</v>
      </c>
      <c r="B29" s="2">
        <f t="shared" si="22"/>
        <v>26</v>
      </c>
      <c r="C29" s="1">
        <v>43524</v>
      </c>
      <c r="D29" s="2">
        <v>2</v>
      </c>
      <c r="E29" s="3">
        <v>55.291441354077499</v>
      </c>
      <c r="F29" s="3">
        <v>90.962622575394704</v>
      </c>
      <c r="G29" s="2">
        <v>2019</v>
      </c>
      <c r="H29" s="15" t="str">
        <f t="shared" ca="1" si="12"/>
        <v>AVG</v>
      </c>
      <c r="I29" s="15" t="str">
        <f t="shared" ca="1" si="13"/>
        <v>AVG</v>
      </c>
      <c r="K29" s="42"/>
      <c r="N29" s="10">
        <f t="shared" si="35"/>
        <v>11</v>
      </c>
      <c r="O29" s="2">
        <f t="shared" ca="1" si="30"/>
        <v>6</v>
      </c>
      <c r="P29" s="2">
        <f t="shared" ca="1" si="30"/>
        <v>8</v>
      </c>
      <c r="Q29" s="2">
        <f t="shared" ca="1" si="30"/>
        <v>4</v>
      </c>
      <c r="R29" s="2">
        <f t="shared" ca="1" si="31"/>
        <v>18</v>
      </c>
      <c r="S29" s="5"/>
      <c r="AB29" s="2">
        <f t="shared" si="33"/>
        <v>10</v>
      </c>
      <c r="AC29" s="3">
        <f t="shared" si="34"/>
        <v>26.97068063626898</v>
      </c>
    </row>
    <row r="30" spans="1:45" x14ac:dyDescent="0.25">
      <c r="A30" s="2">
        <f t="shared" si="0"/>
        <v>9</v>
      </c>
      <c r="B30" s="2">
        <f t="shared" si="22"/>
        <v>27</v>
      </c>
      <c r="C30" s="1">
        <v>39507</v>
      </c>
      <c r="D30" s="2">
        <v>2</v>
      </c>
      <c r="E30" s="3">
        <v>55.222600133038497</v>
      </c>
      <c r="F30" s="3">
        <v>90.849368555357501</v>
      </c>
      <c r="G30" s="2">
        <v>2008</v>
      </c>
      <c r="H30" s="15" t="str">
        <f t="shared" ca="1" si="12"/>
        <v>AVG</v>
      </c>
      <c r="I30" s="15" t="str">
        <f t="shared" ca="1" si="13"/>
        <v>AVG</v>
      </c>
      <c r="N30" s="10">
        <f t="shared" si="35"/>
        <v>12</v>
      </c>
      <c r="O30" s="2">
        <f t="shared" ca="1" si="30"/>
        <v>7</v>
      </c>
      <c r="P30" s="2">
        <f t="shared" ca="1" si="30"/>
        <v>5</v>
      </c>
      <c r="Q30" s="2">
        <f t="shared" ca="1" si="30"/>
        <v>6</v>
      </c>
      <c r="R30" s="2">
        <f t="shared" ca="1" si="31"/>
        <v>18</v>
      </c>
      <c r="S30" s="5"/>
      <c r="AB30" s="2">
        <f t="shared" si="33"/>
        <v>11</v>
      </c>
      <c r="AC30" s="3">
        <f t="shared" si="34"/>
        <v>3.8796242680083992</v>
      </c>
    </row>
    <row r="31" spans="1:45" x14ac:dyDescent="0.25">
      <c r="A31" s="2">
        <f t="shared" si="0"/>
        <v>10</v>
      </c>
      <c r="B31" s="2">
        <f t="shared" si="22"/>
        <v>28</v>
      </c>
      <c r="C31" s="1">
        <v>43890</v>
      </c>
      <c r="D31" s="2">
        <v>2</v>
      </c>
      <c r="E31" s="3">
        <v>54.333655423439097</v>
      </c>
      <c r="F31" s="3">
        <v>89.386922648189596</v>
      </c>
      <c r="G31" s="2">
        <v>2020</v>
      </c>
      <c r="H31" s="15" t="str">
        <f t="shared" ca="1" si="12"/>
        <v>AVG</v>
      </c>
      <c r="I31" s="15" t="str">
        <f t="shared" ca="1" si="13"/>
        <v>AVG</v>
      </c>
      <c r="O31" s="4"/>
      <c r="S31" s="5"/>
      <c r="AB31" s="2">
        <f t="shared" si="33"/>
        <v>12</v>
      </c>
      <c r="AC31" s="3">
        <f t="shared" si="34"/>
        <v>13.030665254137006</v>
      </c>
    </row>
    <row r="32" spans="1:45" x14ac:dyDescent="0.25">
      <c r="A32" s="2">
        <f t="shared" si="0"/>
        <v>11</v>
      </c>
      <c r="B32" s="2">
        <f t="shared" si="22"/>
        <v>29</v>
      </c>
      <c r="C32" s="1">
        <v>44985</v>
      </c>
      <c r="D32" s="2">
        <v>2</v>
      </c>
      <c r="E32" s="3">
        <v>44.627910597961197</v>
      </c>
      <c r="F32" s="3">
        <v>73.419532727580602</v>
      </c>
      <c r="G32" s="2">
        <v>2023</v>
      </c>
      <c r="H32" s="15" t="str">
        <f t="shared" ca="1" si="12"/>
        <v>DRY</v>
      </c>
      <c r="I32" s="15" t="str">
        <f t="shared" ca="1" si="13"/>
        <v>DRY</v>
      </c>
      <c r="O32" s="4"/>
      <c r="S32" s="5"/>
      <c r="AC32" s="5"/>
    </row>
    <row r="33" spans="1:29" x14ac:dyDescent="0.25">
      <c r="A33" s="2">
        <f t="shared" si="0"/>
        <v>12</v>
      </c>
      <c r="B33" s="2">
        <f t="shared" si="22"/>
        <v>30</v>
      </c>
      <c r="C33" s="1">
        <v>42429</v>
      </c>
      <c r="D33" s="2">
        <v>2</v>
      </c>
      <c r="E33" s="3">
        <v>44.561957413240101</v>
      </c>
      <c r="F33" s="3">
        <v>73.311029955677597</v>
      </c>
      <c r="G33" s="2">
        <v>2016</v>
      </c>
      <c r="H33" s="15" t="str">
        <f t="shared" ca="1" si="12"/>
        <v>DRY</v>
      </c>
      <c r="I33" s="15" t="str">
        <f t="shared" ca="1" si="13"/>
        <v>DRY</v>
      </c>
      <c r="O33" s="4"/>
      <c r="S33" s="5"/>
      <c r="AC33" s="5"/>
    </row>
    <row r="34" spans="1:29" x14ac:dyDescent="0.25">
      <c r="A34" s="2">
        <f t="shared" si="0"/>
        <v>13</v>
      </c>
      <c r="B34" s="2">
        <f t="shared" si="22"/>
        <v>31</v>
      </c>
      <c r="C34" s="1">
        <v>39872</v>
      </c>
      <c r="D34" s="2">
        <v>2</v>
      </c>
      <c r="E34" s="3">
        <v>44.037762156814402</v>
      </c>
      <c r="F34" s="3">
        <v>72.448651003378103</v>
      </c>
      <c r="G34" s="2">
        <v>2009</v>
      </c>
      <c r="H34" s="15" t="str">
        <f t="shared" ca="1" si="12"/>
        <v>DRY</v>
      </c>
      <c r="I34" s="15" t="str">
        <f t="shared" ca="1" si="13"/>
        <v>DRY</v>
      </c>
      <c r="N34" s="2"/>
      <c r="O34" s="45" t="s">
        <v>26</v>
      </c>
      <c r="P34" s="45" t="s">
        <v>9</v>
      </c>
      <c r="Q34" s="45" t="s">
        <v>37</v>
      </c>
      <c r="S34" s="5"/>
      <c r="AC34" s="5"/>
    </row>
    <row r="35" spans="1:29" x14ac:dyDescent="0.25">
      <c r="A35" s="2">
        <f t="shared" si="0"/>
        <v>14</v>
      </c>
      <c r="B35" s="2">
        <f t="shared" si="22"/>
        <v>32</v>
      </c>
      <c r="C35" s="1">
        <v>44620</v>
      </c>
      <c r="D35" s="2">
        <v>2</v>
      </c>
      <c r="E35" s="3">
        <v>40.729078621094899</v>
      </c>
      <c r="F35" s="3">
        <v>67.005375800010995</v>
      </c>
      <c r="G35" s="2">
        <v>2022</v>
      </c>
      <c r="H35" s="15" t="str">
        <f t="shared" ca="1" si="12"/>
        <v>DRY</v>
      </c>
      <c r="I35" s="15" t="str">
        <f t="shared" ca="1" si="13"/>
        <v>DRY</v>
      </c>
      <c r="N35" s="45" t="s">
        <v>38</v>
      </c>
      <c r="O35" s="2">
        <f>AVERAGE(F4:F541)</f>
        <v>127.68853456429066</v>
      </c>
      <c r="P35" s="2">
        <f>MEDIAN(F4:F541)</f>
        <v>116.32460627421801</v>
      </c>
      <c r="Q35" s="2">
        <f>STDEV(F4:F541)</f>
        <v>67.393321801406998</v>
      </c>
      <c r="S35" s="5"/>
      <c r="AC35" s="5"/>
    </row>
    <row r="36" spans="1:29" x14ac:dyDescent="0.25">
      <c r="A36" s="2">
        <f t="shared" si="0"/>
        <v>15</v>
      </c>
      <c r="B36" s="2">
        <f t="shared" si="22"/>
        <v>33</v>
      </c>
      <c r="C36" s="1">
        <v>42794</v>
      </c>
      <c r="D36" s="2">
        <v>2</v>
      </c>
      <c r="E36" s="3">
        <v>32.121767327467602</v>
      </c>
      <c r="F36" s="3">
        <v>52.845071973288398</v>
      </c>
      <c r="G36" s="2">
        <v>2017</v>
      </c>
      <c r="H36" s="15" t="str">
        <f t="shared" ca="1" si="12"/>
        <v>DRY</v>
      </c>
      <c r="I36" s="15" t="str">
        <f t="shared" ca="1" si="13"/>
        <v>DRY</v>
      </c>
      <c r="O36" s="4"/>
      <c r="S36" s="5"/>
    </row>
    <row r="37" spans="1:29" x14ac:dyDescent="0.25">
      <c r="A37" s="2">
        <f t="shared" si="0"/>
        <v>16</v>
      </c>
      <c r="B37" s="2">
        <f t="shared" si="22"/>
        <v>34</v>
      </c>
      <c r="C37" s="1">
        <v>40602</v>
      </c>
      <c r="D37" s="2">
        <v>2</v>
      </c>
      <c r="E37" s="3">
        <v>30.977716618639899</v>
      </c>
      <c r="F37" s="3">
        <v>50.962938856739903</v>
      </c>
      <c r="G37" s="2">
        <v>2011</v>
      </c>
      <c r="H37" s="15" t="str">
        <f t="shared" ca="1" si="12"/>
        <v>DRY</v>
      </c>
      <c r="I37" s="15" t="str">
        <f t="shared" ca="1" si="13"/>
        <v>DRY</v>
      </c>
      <c r="O37" s="4"/>
      <c r="S37" s="5"/>
    </row>
    <row r="38" spans="1:29" x14ac:dyDescent="0.25">
      <c r="A38" s="2">
        <f t="shared" si="0"/>
        <v>17</v>
      </c>
      <c r="B38" s="2">
        <f t="shared" si="22"/>
        <v>35</v>
      </c>
      <c r="C38" s="1">
        <v>42063</v>
      </c>
      <c r="D38" s="2">
        <v>2</v>
      </c>
      <c r="E38" s="3">
        <v>30.914920431214199</v>
      </c>
      <c r="F38" s="3">
        <v>50.8596298136749</v>
      </c>
      <c r="G38" s="2">
        <v>2015</v>
      </c>
      <c r="H38" s="15" t="str">
        <f t="shared" ca="1" si="12"/>
        <v>DRY</v>
      </c>
      <c r="I38" s="15" t="str">
        <f t="shared" ca="1" si="13"/>
        <v>DRY</v>
      </c>
      <c r="O38" s="4"/>
      <c r="S38" s="5"/>
    </row>
    <row r="39" spans="1:29" x14ac:dyDescent="0.25">
      <c r="A39" s="2">
        <f t="shared" si="0"/>
        <v>18</v>
      </c>
      <c r="B39" s="2">
        <f t="shared" si="22"/>
        <v>36</v>
      </c>
      <c r="C39" s="1">
        <v>39141</v>
      </c>
      <c r="D39" s="2">
        <v>2</v>
      </c>
      <c r="E39" s="3">
        <v>27.008042490580401</v>
      </c>
      <c r="F39" s="3">
        <v>44.432236082225401</v>
      </c>
      <c r="G39" s="2">
        <v>2007</v>
      </c>
      <c r="H39" s="15" t="str">
        <f t="shared" ca="1" si="12"/>
        <v>DRY</v>
      </c>
      <c r="I39" s="15" t="str">
        <f t="shared" ca="1" si="13"/>
        <v>DRY</v>
      </c>
      <c r="O39" s="4"/>
      <c r="S39" s="5"/>
    </row>
    <row r="40" spans="1:29" x14ac:dyDescent="0.25">
      <c r="A40" s="2">
        <f t="shared" si="0"/>
        <v>1</v>
      </c>
      <c r="B40" s="2">
        <f t="shared" si="22"/>
        <v>37</v>
      </c>
      <c r="C40" s="1">
        <v>39903</v>
      </c>
      <c r="D40" s="2">
        <v>3</v>
      </c>
      <c r="E40" s="3">
        <v>115.572996722753</v>
      </c>
      <c r="F40" s="3">
        <v>190.13472290361599</v>
      </c>
      <c r="G40" s="2">
        <v>2009</v>
      </c>
      <c r="H40" s="15" t="str">
        <f t="shared" ca="1" si="12"/>
        <v>WET</v>
      </c>
      <c r="I40" s="15" t="str">
        <f t="shared" ca="1" si="13"/>
        <v>WET</v>
      </c>
      <c r="O40" s="4"/>
      <c r="S40" s="5"/>
    </row>
    <row r="41" spans="1:29" x14ac:dyDescent="0.25">
      <c r="A41" s="2">
        <f t="shared" si="0"/>
        <v>2</v>
      </c>
      <c r="B41" s="2">
        <f t="shared" si="22"/>
        <v>38</v>
      </c>
      <c r="C41" s="1">
        <v>42460</v>
      </c>
      <c r="D41" s="2">
        <v>3</v>
      </c>
      <c r="E41" s="3">
        <v>109.092385069388</v>
      </c>
      <c r="F41" s="3">
        <v>179.473155444963</v>
      </c>
      <c r="G41" s="2">
        <v>2016</v>
      </c>
      <c r="H41" s="15" t="str">
        <f t="shared" ca="1" si="12"/>
        <v>WET</v>
      </c>
      <c r="I41" s="15" t="str">
        <f t="shared" ca="1" si="13"/>
        <v>WET</v>
      </c>
      <c r="K41" s="42"/>
      <c r="O41" s="4"/>
      <c r="S41" s="5"/>
    </row>
    <row r="42" spans="1:29" x14ac:dyDescent="0.25">
      <c r="A42" s="2">
        <f t="shared" si="0"/>
        <v>3</v>
      </c>
      <c r="B42" s="2">
        <f t="shared" si="22"/>
        <v>39</v>
      </c>
      <c r="C42" s="1">
        <v>40999</v>
      </c>
      <c r="D42" s="2">
        <v>3</v>
      </c>
      <c r="E42" s="3">
        <v>103.433006230649</v>
      </c>
      <c r="F42" s="3">
        <v>170.16263778233201</v>
      </c>
      <c r="G42" s="2">
        <v>2012</v>
      </c>
      <c r="H42" s="15" t="str">
        <f t="shared" ca="1" si="12"/>
        <v>WET</v>
      </c>
      <c r="I42" s="15" t="str">
        <f t="shared" ca="1" si="13"/>
        <v>WET</v>
      </c>
      <c r="O42" s="4"/>
      <c r="S42" s="5"/>
    </row>
    <row r="43" spans="1:29" x14ac:dyDescent="0.25">
      <c r="A43" s="2">
        <f t="shared" si="0"/>
        <v>4</v>
      </c>
      <c r="B43" s="2">
        <f t="shared" si="22"/>
        <v>40</v>
      </c>
      <c r="C43" s="1">
        <v>44286</v>
      </c>
      <c r="D43" s="2">
        <v>3</v>
      </c>
      <c r="E43" s="3">
        <v>87.876455597722199</v>
      </c>
      <c r="F43" s="3">
        <v>144.56980444062</v>
      </c>
      <c r="G43" s="2">
        <v>2021</v>
      </c>
      <c r="H43" s="15" t="str">
        <f t="shared" ca="1" si="12"/>
        <v>WET</v>
      </c>
      <c r="I43" s="15" t="str">
        <f t="shared" ca="1" si="13"/>
        <v>WET</v>
      </c>
      <c r="O43" s="4"/>
      <c r="S43" s="5"/>
    </row>
    <row r="44" spans="1:29" x14ac:dyDescent="0.25">
      <c r="A44" s="2">
        <f t="shared" si="0"/>
        <v>5</v>
      </c>
      <c r="B44" s="2">
        <f t="shared" si="22"/>
        <v>41</v>
      </c>
      <c r="C44" s="1">
        <v>42094</v>
      </c>
      <c r="D44" s="2">
        <v>3</v>
      </c>
      <c r="E44" s="3">
        <v>86.879073107954</v>
      </c>
      <c r="F44" s="3">
        <v>142.928962300168</v>
      </c>
      <c r="G44" s="2">
        <v>2015</v>
      </c>
      <c r="H44" s="15" t="str">
        <f t="shared" ca="1" si="12"/>
        <v>WET</v>
      </c>
      <c r="I44" s="15" t="str">
        <f t="shared" ca="1" si="13"/>
        <v>WET</v>
      </c>
      <c r="O44" s="4"/>
      <c r="S44" s="5"/>
    </row>
    <row r="45" spans="1:29" x14ac:dyDescent="0.25">
      <c r="A45" s="2">
        <f t="shared" si="0"/>
        <v>6</v>
      </c>
      <c r="B45" s="2">
        <f t="shared" si="22"/>
        <v>42</v>
      </c>
      <c r="C45" s="1">
        <v>40633</v>
      </c>
      <c r="D45" s="2">
        <v>3</v>
      </c>
      <c r="E45" s="3">
        <v>66.454131130149904</v>
      </c>
      <c r="F45" s="3">
        <v>109.326903052814</v>
      </c>
      <c r="G45" s="2">
        <v>2011</v>
      </c>
      <c r="H45" s="15" t="str">
        <f t="shared" ca="1" si="12"/>
        <v>AVG</v>
      </c>
      <c r="I45" s="15" t="str">
        <f t="shared" ca="1" si="13"/>
        <v>AVG</v>
      </c>
      <c r="O45" s="4"/>
      <c r="S45" s="5"/>
    </row>
    <row r="46" spans="1:29" x14ac:dyDescent="0.25">
      <c r="A46" s="2">
        <f t="shared" si="0"/>
        <v>7</v>
      </c>
      <c r="B46" s="2">
        <f t="shared" si="22"/>
        <v>43</v>
      </c>
      <c r="C46" s="1">
        <v>44651</v>
      </c>
      <c r="D46" s="2">
        <v>3</v>
      </c>
      <c r="E46" s="3">
        <v>66.039131317741806</v>
      </c>
      <c r="F46" s="3">
        <v>108.644166803216</v>
      </c>
      <c r="G46" s="2">
        <v>2022</v>
      </c>
      <c r="H46" s="15" t="str">
        <f t="shared" ca="1" si="12"/>
        <v>AVG</v>
      </c>
      <c r="I46" s="15" t="str">
        <f t="shared" ca="1" si="13"/>
        <v>AVG</v>
      </c>
      <c r="O46" s="4"/>
      <c r="S46" s="5"/>
    </row>
    <row r="47" spans="1:29" x14ac:dyDescent="0.25">
      <c r="A47" s="2">
        <f t="shared" si="0"/>
        <v>8</v>
      </c>
      <c r="B47" s="2">
        <f t="shared" si="22"/>
        <v>44</v>
      </c>
      <c r="C47" s="1">
        <v>41729</v>
      </c>
      <c r="D47" s="2">
        <v>3</v>
      </c>
      <c r="E47" s="3">
        <v>65.974807013407698</v>
      </c>
      <c r="F47" s="3">
        <v>108.538343781167</v>
      </c>
      <c r="G47" s="2">
        <v>2014</v>
      </c>
      <c r="H47" s="15" t="str">
        <f t="shared" ca="1" si="12"/>
        <v>AVG</v>
      </c>
      <c r="I47" s="15" t="str">
        <f t="shared" ca="1" si="13"/>
        <v>AVG</v>
      </c>
      <c r="O47" s="4"/>
      <c r="S47" s="5"/>
    </row>
    <row r="48" spans="1:29" x14ac:dyDescent="0.25">
      <c r="A48" s="2">
        <f t="shared" si="0"/>
        <v>9</v>
      </c>
      <c r="B48" s="2">
        <f t="shared" si="22"/>
        <v>45</v>
      </c>
      <c r="C48" s="1">
        <v>42825</v>
      </c>
      <c r="D48" s="2">
        <v>3</v>
      </c>
      <c r="E48" s="3">
        <v>59.0648557419726</v>
      </c>
      <c r="F48" s="3">
        <v>97.170448965533694</v>
      </c>
      <c r="G48" s="2">
        <v>2017</v>
      </c>
      <c r="H48" s="15" t="str">
        <f t="shared" ca="1" si="12"/>
        <v>AVG</v>
      </c>
      <c r="I48" s="15" t="str">
        <f t="shared" ca="1" si="13"/>
        <v>AVG</v>
      </c>
      <c r="O48" s="4"/>
      <c r="S48" s="5"/>
    </row>
    <row r="49" spans="1:19" x14ac:dyDescent="0.25">
      <c r="A49" s="2">
        <f t="shared" si="0"/>
        <v>10</v>
      </c>
      <c r="B49" s="2">
        <f t="shared" si="22"/>
        <v>46</v>
      </c>
      <c r="C49" s="1">
        <v>43190</v>
      </c>
      <c r="D49" s="2">
        <v>3</v>
      </c>
      <c r="E49" s="3">
        <v>57.831594862455397</v>
      </c>
      <c r="F49" s="3">
        <v>95.1415518853847</v>
      </c>
      <c r="G49" s="2">
        <v>2018</v>
      </c>
      <c r="H49" s="15" t="str">
        <f t="shared" ca="1" si="12"/>
        <v>AVG</v>
      </c>
      <c r="I49" s="15" t="str">
        <f t="shared" ca="1" si="13"/>
        <v>AVG</v>
      </c>
      <c r="O49" s="4"/>
      <c r="S49" s="5"/>
    </row>
    <row r="50" spans="1:19" x14ac:dyDescent="0.25">
      <c r="A50" s="2">
        <f t="shared" si="0"/>
        <v>11</v>
      </c>
      <c r="B50" s="2">
        <f t="shared" si="22"/>
        <v>47</v>
      </c>
      <c r="C50" s="1">
        <v>39538</v>
      </c>
      <c r="D50" s="2">
        <v>3</v>
      </c>
      <c r="E50" s="3">
        <v>50.369365553104302</v>
      </c>
      <c r="F50" s="3">
        <v>82.865077776295493</v>
      </c>
      <c r="G50" s="2">
        <v>2008</v>
      </c>
      <c r="H50" s="15" t="str">
        <f t="shared" ca="1" si="12"/>
        <v>DRY</v>
      </c>
      <c r="I50" s="15" t="str">
        <f t="shared" ca="1" si="13"/>
        <v>AVG</v>
      </c>
      <c r="O50" s="4"/>
      <c r="S50" s="5"/>
    </row>
    <row r="51" spans="1:19" x14ac:dyDescent="0.25">
      <c r="A51" s="2">
        <f t="shared" si="0"/>
        <v>12</v>
      </c>
      <c r="B51" s="2">
        <f t="shared" si="22"/>
        <v>48</v>
      </c>
      <c r="C51" s="1">
        <v>39172</v>
      </c>
      <c r="D51" s="2">
        <v>3</v>
      </c>
      <c r="E51" s="3">
        <v>44.117684647638399</v>
      </c>
      <c r="F51" s="3">
        <v>72.580135355929997</v>
      </c>
      <c r="G51" s="2">
        <v>2007</v>
      </c>
      <c r="H51" s="15" t="str">
        <f t="shared" ca="1" si="12"/>
        <v>DRY</v>
      </c>
      <c r="I51" s="15" t="str">
        <f t="shared" ca="1" si="13"/>
        <v>DRY</v>
      </c>
      <c r="O51" s="4"/>
      <c r="S51" s="5"/>
    </row>
    <row r="52" spans="1:19" x14ac:dyDescent="0.25">
      <c r="A52" s="2">
        <f t="shared" si="0"/>
        <v>13</v>
      </c>
      <c r="B52" s="2">
        <f t="shared" si="22"/>
        <v>49</v>
      </c>
      <c r="C52" s="1">
        <v>40268</v>
      </c>
      <c r="D52" s="2">
        <v>3</v>
      </c>
      <c r="E52" s="3">
        <v>43.767190126274102</v>
      </c>
      <c r="F52" s="3">
        <v>72.003519878365594</v>
      </c>
      <c r="G52" s="2">
        <v>2010</v>
      </c>
      <c r="H52" s="15" t="str">
        <f t="shared" ca="1" si="12"/>
        <v>DRY</v>
      </c>
      <c r="I52" s="15" t="str">
        <f t="shared" ca="1" si="13"/>
        <v>DRY</v>
      </c>
      <c r="O52" s="4"/>
      <c r="S52" s="5"/>
    </row>
    <row r="53" spans="1:19" x14ac:dyDescent="0.25">
      <c r="A53" s="2">
        <f t="shared" si="0"/>
        <v>14</v>
      </c>
      <c r="B53" s="2">
        <f t="shared" si="22"/>
        <v>50</v>
      </c>
      <c r="C53" s="1">
        <v>45016</v>
      </c>
      <c r="D53" s="2">
        <v>3</v>
      </c>
      <c r="E53" s="3">
        <v>38.324546166553603</v>
      </c>
      <c r="F53" s="3">
        <v>63.049563240666302</v>
      </c>
      <c r="G53" s="2">
        <v>2023</v>
      </c>
      <c r="H53" s="15" t="str">
        <f t="shared" ca="1" si="12"/>
        <v>DRY</v>
      </c>
      <c r="I53" s="15" t="str">
        <f t="shared" ca="1" si="13"/>
        <v>DRY</v>
      </c>
      <c r="O53" s="4"/>
      <c r="S53" s="5"/>
    </row>
    <row r="54" spans="1:19" x14ac:dyDescent="0.25">
      <c r="A54" s="2">
        <f t="shared" si="0"/>
        <v>15</v>
      </c>
      <c r="B54" s="2">
        <f t="shared" si="22"/>
        <v>51</v>
      </c>
      <c r="C54" s="1">
        <v>43555</v>
      </c>
      <c r="D54" s="2">
        <v>3</v>
      </c>
      <c r="E54" s="3">
        <v>28.137016270144201</v>
      </c>
      <c r="F54" s="3">
        <v>46.2895654137278</v>
      </c>
      <c r="G54" s="2">
        <v>2019</v>
      </c>
      <c r="H54" s="15" t="str">
        <f t="shared" ca="1" si="12"/>
        <v>DRY</v>
      </c>
      <c r="I54" s="15" t="str">
        <f t="shared" ca="1" si="13"/>
        <v>DRY</v>
      </c>
      <c r="O54" s="4"/>
      <c r="S54" s="5"/>
    </row>
    <row r="55" spans="1:19" x14ac:dyDescent="0.25">
      <c r="A55" s="2">
        <f t="shared" si="0"/>
        <v>16</v>
      </c>
      <c r="B55" s="2">
        <f t="shared" si="22"/>
        <v>52</v>
      </c>
      <c r="C55" s="1">
        <v>43921</v>
      </c>
      <c r="D55" s="2">
        <v>3</v>
      </c>
      <c r="E55" s="3">
        <v>24.3329817988567</v>
      </c>
      <c r="F55" s="3">
        <v>40.031364444438097</v>
      </c>
      <c r="G55" s="2">
        <v>2020</v>
      </c>
      <c r="H55" s="15" t="str">
        <f t="shared" ca="1" si="12"/>
        <v>DRY</v>
      </c>
      <c r="I55" s="15" t="str">
        <f t="shared" ca="1" si="13"/>
        <v>DRY</v>
      </c>
      <c r="O55" s="4"/>
      <c r="S55" s="5"/>
    </row>
    <row r="56" spans="1:19" x14ac:dyDescent="0.25">
      <c r="A56" s="2">
        <f t="shared" si="0"/>
        <v>17</v>
      </c>
      <c r="B56" s="2">
        <f t="shared" si="22"/>
        <v>53</v>
      </c>
      <c r="C56" s="1">
        <v>41364</v>
      </c>
      <c r="D56" s="2">
        <v>3</v>
      </c>
      <c r="E56" s="3">
        <v>19.401247430906299</v>
      </c>
      <c r="F56" s="3">
        <v>31.9179298699767</v>
      </c>
      <c r="G56" s="2">
        <v>2013</v>
      </c>
      <c r="H56" s="15" t="str">
        <f t="shared" ca="1" si="12"/>
        <v>DRY</v>
      </c>
      <c r="I56" s="15" t="str">
        <f t="shared" ca="1" si="13"/>
        <v>DRY</v>
      </c>
      <c r="O56" s="4"/>
      <c r="S56" s="5"/>
    </row>
    <row r="57" spans="1:19" x14ac:dyDescent="0.25">
      <c r="A57" s="2">
        <f t="shared" si="0"/>
        <v>18</v>
      </c>
      <c r="B57" s="2">
        <f t="shared" si="22"/>
        <v>54</v>
      </c>
      <c r="C57" s="1">
        <v>38807</v>
      </c>
      <c r="D57" s="2">
        <v>3</v>
      </c>
      <c r="E57" s="3">
        <v>14.5932273615865</v>
      </c>
      <c r="F57" s="3">
        <v>24.008023667681499</v>
      </c>
      <c r="G57" s="2">
        <v>2006</v>
      </c>
      <c r="H57" s="15" t="str">
        <f t="shared" ca="1" si="12"/>
        <v>DRY</v>
      </c>
      <c r="I57" s="15" t="str">
        <f t="shared" ca="1" si="13"/>
        <v>DRY</v>
      </c>
      <c r="O57" s="4"/>
      <c r="S57" s="5"/>
    </row>
    <row r="58" spans="1:19" x14ac:dyDescent="0.25">
      <c r="A58" s="2">
        <f t="shared" si="0"/>
        <v>1</v>
      </c>
      <c r="B58" s="2">
        <f t="shared" si="22"/>
        <v>55</v>
      </c>
      <c r="C58" s="1">
        <v>42124</v>
      </c>
      <c r="D58" s="2">
        <v>4</v>
      </c>
      <c r="E58" s="3">
        <v>152.44508811434</v>
      </c>
      <c r="F58" s="3">
        <v>250.794782592421</v>
      </c>
      <c r="G58" s="2">
        <v>2015</v>
      </c>
      <c r="H58" s="15" t="str">
        <f t="shared" ca="1" si="12"/>
        <v>WET</v>
      </c>
      <c r="I58" s="15" t="str">
        <f t="shared" ca="1" si="13"/>
        <v>WET</v>
      </c>
      <c r="O58" s="4"/>
      <c r="S58" s="5"/>
    </row>
    <row r="59" spans="1:19" x14ac:dyDescent="0.25">
      <c r="A59" s="2">
        <f t="shared" si="0"/>
        <v>2</v>
      </c>
      <c r="B59" s="2">
        <f t="shared" si="22"/>
        <v>56</v>
      </c>
      <c r="C59" s="1">
        <v>44316</v>
      </c>
      <c r="D59" s="2">
        <v>4</v>
      </c>
      <c r="E59" s="3">
        <v>137.75551652777801</v>
      </c>
      <c r="F59" s="3">
        <v>226.62825838362301</v>
      </c>
      <c r="G59" s="2">
        <v>2021</v>
      </c>
      <c r="H59" s="15" t="str">
        <f t="shared" ca="1" si="12"/>
        <v>WET</v>
      </c>
      <c r="I59" s="15" t="str">
        <f t="shared" ca="1" si="13"/>
        <v>WET</v>
      </c>
      <c r="O59" s="4"/>
      <c r="S59" s="5"/>
    </row>
    <row r="60" spans="1:19" x14ac:dyDescent="0.25">
      <c r="A60" s="2">
        <f t="shared" si="0"/>
        <v>3</v>
      </c>
      <c r="B60" s="2">
        <f t="shared" si="22"/>
        <v>57</v>
      </c>
      <c r="C60" s="1">
        <v>42490</v>
      </c>
      <c r="D60" s="2">
        <v>4</v>
      </c>
      <c r="E60" s="3">
        <v>109.59761857689701</v>
      </c>
      <c r="F60" s="3">
        <v>180.304339507641</v>
      </c>
      <c r="G60" s="2">
        <v>2016</v>
      </c>
      <c r="H60" s="15" t="str">
        <f t="shared" ca="1" si="12"/>
        <v>WET</v>
      </c>
      <c r="I60" s="15" t="str">
        <f t="shared" ca="1" si="13"/>
        <v>WET</v>
      </c>
      <c r="O60" s="4"/>
      <c r="S60" s="5"/>
    </row>
    <row r="61" spans="1:19" x14ac:dyDescent="0.25">
      <c r="A61" s="2">
        <f t="shared" si="0"/>
        <v>4</v>
      </c>
      <c r="B61" s="2">
        <f t="shared" si="22"/>
        <v>58</v>
      </c>
      <c r="C61" s="1">
        <v>43585</v>
      </c>
      <c r="D61" s="2">
        <v>4</v>
      </c>
      <c r="E61" s="3">
        <v>101.91557916467001</v>
      </c>
      <c r="F61" s="3">
        <v>167.66624517421801</v>
      </c>
      <c r="G61" s="2">
        <v>2019</v>
      </c>
      <c r="H61" s="15" t="str">
        <f t="shared" ca="1" si="12"/>
        <v>WET</v>
      </c>
      <c r="I61" s="15" t="str">
        <f t="shared" ca="1" si="13"/>
        <v>WET</v>
      </c>
      <c r="O61" s="4"/>
      <c r="S61" s="5"/>
    </row>
    <row r="62" spans="1:19" x14ac:dyDescent="0.25">
      <c r="A62" s="2">
        <f t="shared" si="0"/>
        <v>5</v>
      </c>
      <c r="B62" s="2">
        <f t="shared" si="22"/>
        <v>59</v>
      </c>
      <c r="C62" s="1">
        <v>41394</v>
      </c>
      <c r="D62" s="2">
        <v>4</v>
      </c>
      <c r="E62" s="3">
        <v>101.246022513992</v>
      </c>
      <c r="F62" s="3">
        <v>166.564725166475</v>
      </c>
      <c r="G62" s="2">
        <v>2013</v>
      </c>
      <c r="H62" s="15" t="str">
        <f t="shared" ca="1" si="12"/>
        <v>WET</v>
      </c>
      <c r="I62" s="15" t="str">
        <f t="shared" ca="1" si="13"/>
        <v>WET</v>
      </c>
      <c r="O62" s="4"/>
      <c r="S62" s="5"/>
    </row>
    <row r="63" spans="1:19" x14ac:dyDescent="0.25">
      <c r="A63" s="2">
        <f t="shared" si="0"/>
        <v>6</v>
      </c>
      <c r="B63" s="2">
        <f t="shared" si="22"/>
        <v>60</v>
      </c>
      <c r="C63" s="1">
        <v>45046</v>
      </c>
      <c r="D63" s="2">
        <v>4</v>
      </c>
      <c r="E63" s="3">
        <v>90.709946319322896</v>
      </c>
      <c r="F63" s="3">
        <v>149.23131697796401</v>
      </c>
      <c r="G63" s="2">
        <v>2023</v>
      </c>
      <c r="H63" s="15" t="str">
        <f t="shared" ca="1" si="12"/>
        <v>WET</v>
      </c>
      <c r="I63" s="15" t="str">
        <f t="shared" ca="1" si="13"/>
        <v>WET</v>
      </c>
      <c r="O63" s="4"/>
      <c r="S63" s="5"/>
    </row>
    <row r="64" spans="1:19" x14ac:dyDescent="0.25">
      <c r="A64" s="2">
        <f t="shared" si="0"/>
        <v>7</v>
      </c>
      <c r="B64" s="2">
        <f t="shared" si="22"/>
        <v>61</v>
      </c>
      <c r="C64" s="1">
        <v>42855</v>
      </c>
      <c r="D64" s="2">
        <v>4</v>
      </c>
      <c r="E64" s="3">
        <v>74.511409861226895</v>
      </c>
      <c r="F64" s="3">
        <v>122.582321726136</v>
      </c>
      <c r="G64" s="2">
        <v>2017</v>
      </c>
      <c r="H64" s="15" t="str">
        <f t="shared" ca="1" si="12"/>
        <v>AVG</v>
      </c>
      <c r="I64" s="15" t="str">
        <f t="shared" ca="1" si="13"/>
        <v>AVG</v>
      </c>
      <c r="O64" s="4"/>
      <c r="S64" s="5"/>
    </row>
    <row r="65" spans="1:19" x14ac:dyDescent="0.25">
      <c r="A65" s="2">
        <f t="shared" si="0"/>
        <v>8</v>
      </c>
      <c r="B65" s="2">
        <f t="shared" si="22"/>
        <v>62</v>
      </c>
      <c r="C65" s="1">
        <v>43220</v>
      </c>
      <c r="D65" s="2">
        <v>4</v>
      </c>
      <c r="E65" s="3">
        <v>74.097229720962204</v>
      </c>
      <c r="F65" s="3">
        <v>121.90093395879801</v>
      </c>
      <c r="G65" s="2">
        <v>2018</v>
      </c>
      <c r="H65" s="15" t="str">
        <f t="shared" ca="1" si="12"/>
        <v>AVG</v>
      </c>
      <c r="I65" s="15" t="str">
        <f t="shared" ca="1" si="13"/>
        <v>AVG</v>
      </c>
      <c r="O65" s="4"/>
      <c r="S65" s="5"/>
    </row>
    <row r="66" spans="1:19" x14ac:dyDescent="0.25">
      <c r="A66" s="2">
        <f t="shared" si="0"/>
        <v>9</v>
      </c>
      <c r="B66" s="2">
        <f t="shared" si="22"/>
        <v>63</v>
      </c>
      <c r="C66" s="1">
        <v>43951</v>
      </c>
      <c r="D66" s="2">
        <v>4</v>
      </c>
      <c r="E66" s="3">
        <v>72.133051495359894</v>
      </c>
      <c r="F66" s="3">
        <v>118.669569425143</v>
      </c>
      <c r="G66" s="2">
        <v>2020</v>
      </c>
      <c r="H66" s="15" t="str">
        <f t="shared" ca="1" si="12"/>
        <v>AVG</v>
      </c>
      <c r="I66" s="15" t="str">
        <f t="shared" ca="1" si="13"/>
        <v>AVG</v>
      </c>
      <c r="O66" s="4"/>
      <c r="S66" s="5"/>
    </row>
    <row r="67" spans="1:19" x14ac:dyDescent="0.25">
      <c r="A67" s="2">
        <f t="shared" si="0"/>
        <v>10</v>
      </c>
      <c r="B67" s="2">
        <f t="shared" si="22"/>
        <v>64</v>
      </c>
      <c r="C67" s="1">
        <v>41759</v>
      </c>
      <c r="D67" s="2">
        <v>4</v>
      </c>
      <c r="E67" s="3">
        <v>71.473282078870398</v>
      </c>
      <c r="F67" s="3">
        <v>117.58415086941</v>
      </c>
      <c r="G67" s="2">
        <v>2014</v>
      </c>
      <c r="H67" s="15" t="str">
        <f t="shared" ca="1" si="12"/>
        <v>AVG</v>
      </c>
      <c r="I67" s="15" t="str">
        <f t="shared" ca="1" si="13"/>
        <v>AVG</v>
      </c>
      <c r="O67" s="4"/>
      <c r="S67" s="5"/>
    </row>
    <row r="68" spans="1:19" x14ac:dyDescent="0.25">
      <c r="A68" s="2">
        <f t="shared" ref="A68:A131" si="36">IF(D68=D67,A67+1,1)</f>
        <v>11</v>
      </c>
      <c r="B68" s="2">
        <f t="shared" si="22"/>
        <v>65</v>
      </c>
      <c r="C68" s="1">
        <v>39933</v>
      </c>
      <c r="D68" s="2">
        <v>4</v>
      </c>
      <c r="E68" s="3">
        <v>69.302524770237895</v>
      </c>
      <c r="F68" s="3">
        <v>114.012933101665</v>
      </c>
      <c r="G68" s="2">
        <v>2009</v>
      </c>
      <c r="H68" s="15" t="str">
        <f t="shared" ca="1" si="12"/>
        <v>AVG</v>
      </c>
      <c r="I68" s="15" t="str">
        <f t="shared" ca="1" si="13"/>
        <v>AVG</v>
      </c>
      <c r="O68" s="4"/>
      <c r="S68" s="5"/>
    </row>
    <row r="69" spans="1:19" x14ac:dyDescent="0.25">
      <c r="A69" s="2">
        <f t="shared" si="36"/>
        <v>12</v>
      </c>
      <c r="B69" s="2">
        <f t="shared" si="22"/>
        <v>66</v>
      </c>
      <c r="C69" s="1">
        <v>38837</v>
      </c>
      <c r="D69" s="2">
        <v>4</v>
      </c>
      <c r="E69" s="3">
        <v>66.991096607282799</v>
      </c>
      <c r="F69" s="3">
        <v>110.21029091242301</v>
      </c>
      <c r="G69" s="2">
        <v>2006</v>
      </c>
      <c r="H69" s="15" t="str">
        <f t="shared" ref="H69:H132" ca="1" si="37">IF(F69&lt;VLOOKUP($D69,$T$4:$AS$15,23,FALSE),"DRY",IF(F69&gt;VLOOKUP($D69,$T$4:$AS$15,24,FALSE),"WET","AVG"))</f>
        <v>AVG</v>
      </c>
      <c r="I69" s="15" t="str">
        <f t="shared" ref="I69:I132" ca="1" si="38">IF(F69&lt;VLOOKUP($D69,$T$4:$AS$15,25,FALSE),"DRY",IF(F69&gt;VLOOKUP($D69,$T$4:$AS$15,26,FALSE),"WET","AVG"))</f>
        <v>AVG</v>
      </c>
      <c r="O69" s="4"/>
      <c r="S69" s="5"/>
    </row>
    <row r="70" spans="1:19" x14ac:dyDescent="0.25">
      <c r="A70" s="2">
        <f t="shared" si="36"/>
        <v>13</v>
      </c>
      <c r="B70" s="2">
        <f t="shared" ref="B70:B133" si="39">B69+1</f>
        <v>67</v>
      </c>
      <c r="C70" s="1">
        <v>41029</v>
      </c>
      <c r="D70" s="2">
        <v>4</v>
      </c>
      <c r="E70" s="3">
        <v>66.110035477229601</v>
      </c>
      <c r="F70" s="3">
        <v>108.760814663004</v>
      </c>
      <c r="G70" s="2">
        <v>2012</v>
      </c>
      <c r="H70" s="15" t="str">
        <f t="shared" ca="1" si="37"/>
        <v>AVG</v>
      </c>
      <c r="I70" s="15" t="str">
        <f t="shared" ca="1" si="38"/>
        <v>AVG</v>
      </c>
      <c r="O70" s="4"/>
      <c r="S70" s="5"/>
    </row>
    <row r="71" spans="1:19" x14ac:dyDescent="0.25">
      <c r="A71" s="2">
        <f t="shared" si="36"/>
        <v>14</v>
      </c>
      <c r="B71" s="2">
        <f t="shared" si="39"/>
        <v>68</v>
      </c>
      <c r="C71" s="1">
        <v>39568</v>
      </c>
      <c r="D71" s="2">
        <v>4</v>
      </c>
      <c r="E71" s="3">
        <v>56.705820323337697</v>
      </c>
      <c r="F71" s="3">
        <v>93.289485778969095</v>
      </c>
      <c r="G71" s="2">
        <v>2008</v>
      </c>
      <c r="H71" s="15" t="str">
        <f t="shared" ca="1" si="37"/>
        <v>DRY</v>
      </c>
      <c r="I71" s="15" t="str">
        <f t="shared" ca="1" si="38"/>
        <v>DRY</v>
      </c>
      <c r="O71" s="4"/>
      <c r="S71" s="5"/>
    </row>
    <row r="72" spans="1:19" x14ac:dyDescent="0.25">
      <c r="A72" s="18">
        <f t="shared" si="36"/>
        <v>15</v>
      </c>
      <c r="B72" s="2">
        <f t="shared" si="39"/>
        <v>69</v>
      </c>
      <c r="C72" s="1">
        <v>39202</v>
      </c>
      <c r="D72" s="2">
        <v>4</v>
      </c>
      <c r="E72" s="3">
        <v>53.4425411986347</v>
      </c>
      <c r="F72" s="3">
        <v>87.920907566698602</v>
      </c>
      <c r="G72" s="2">
        <v>2007</v>
      </c>
      <c r="H72" s="15" t="str">
        <f t="shared" ca="1" si="37"/>
        <v>DRY</v>
      </c>
      <c r="I72" s="15" t="str">
        <f t="shared" ca="1" si="38"/>
        <v>DRY</v>
      </c>
      <c r="O72" s="4"/>
      <c r="S72" s="5"/>
    </row>
    <row r="73" spans="1:19" x14ac:dyDescent="0.25">
      <c r="A73" s="2">
        <f t="shared" si="36"/>
        <v>16</v>
      </c>
      <c r="B73" s="2">
        <f t="shared" si="39"/>
        <v>70</v>
      </c>
      <c r="C73" s="1">
        <v>44681</v>
      </c>
      <c r="D73" s="2">
        <v>4</v>
      </c>
      <c r="E73" s="3">
        <v>42.377677645777197</v>
      </c>
      <c r="F73" s="3">
        <v>69.717565737328997</v>
      </c>
      <c r="G73" s="2">
        <v>2022</v>
      </c>
      <c r="H73" s="15" t="str">
        <f t="shared" ca="1" si="37"/>
        <v>DRY</v>
      </c>
      <c r="I73" s="15" t="str">
        <f t="shared" ca="1" si="38"/>
        <v>DRY</v>
      </c>
      <c r="O73" s="4"/>
      <c r="S73" s="5"/>
    </row>
    <row r="74" spans="1:19" x14ac:dyDescent="0.25">
      <c r="A74" s="2">
        <f t="shared" si="36"/>
        <v>17</v>
      </c>
      <c r="B74" s="2">
        <f t="shared" si="39"/>
        <v>71</v>
      </c>
      <c r="C74" s="1">
        <v>40663</v>
      </c>
      <c r="D74" s="2">
        <v>4</v>
      </c>
      <c r="E74" s="3">
        <v>19.818726799992</v>
      </c>
      <c r="F74" s="3">
        <v>32.604745358109298</v>
      </c>
      <c r="G74" s="2">
        <v>2011</v>
      </c>
      <c r="H74" s="15" t="str">
        <f t="shared" ca="1" si="37"/>
        <v>DRY</v>
      </c>
      <c r="I74" s="15" t="str">
        <f t="shared" ca="1" si="38"/>
        <v>DRY</v>
      </c>
      <c r="O74" s="4"/>
      <c r="S74" s="5"/>
    </row>
    <row r="75" spans="1:19" x14ac:dyDescent="0.25">
      <c r="A75" s="2">
        <f t="shared" si="36"/>
        <v>18</v>
      </c>
      <c r="B75" s="2">
        <f t="shared" si="39"/>
        <v>72</v>
      </c>
      <c r="C75" s="1">
        <v>40298</v>
      </c>
      <c r="D75" s="2">
        <v>4</v>
      </c>
      <c r="E75" s="3">
        <v>18.002911170097398</v>
      </c>
      <c r="F75" s="3">
        <v>29.6174593014685</v>
      </c>
      <c r="G75" s="2">
        <v>2010</v>
      </c>
      <c r="H75" s="15" t="str">
        <f t="shared" ca="1" si="37"/>
        <v>DRY</v>
      </c>
      <c r="I75" s="15" t="str">
        <f t="shared" ca="1" si="38"/>
        <v>DRY</v>
      </c>
      <c r="O75" s="4"/>
      <c r="S75" s="5"/>
    </row>
    <row r="76" spans="1:19" x14ac:dyDescent="0.25">
      <c r="A76" s="2">
        <f t="shared" si="36"/>
        <v>1</v>
      </c>
      <c r="B76" s="2">
        <f t="shared" si="39"/>
        <v>73</v>
      </c>
      <c r="C76" s="1">
        <v>44347</v>
      </c>
      <c r="D76" s="2">
        <v>5</v>
      </c>
      <c r="E76" s="3">
        <v>166.02372297156199</v>
      </c>
      <c r="F76" s="3">
        <v>273.13365109282699</v>
      </c>
      <c r="G76" s="2">
        <v>2021</v>
      </c>
      <c r="H76" s="15" t="str">
        <f t="shared" ca="1" si="37"/>
        <v>WET</v>
      </c>
      <c r="I76" s="15" t="str">
        <f t="shared" ca="1" si="38"/>
        <v>WET</v>
      </c>
      <c r="O76" s="4"/>
      <c r="S76" s="5"/>
    </row>
    <row r="77" spans="1:19" x14ac:dyDescent="0.25">
      <c r="A77" s="2">
        <f t="shared" si="36"/>
        <v>2</v>
      </c>
      <c r="B77" s="2">
        <f t="shared" si="39"/>
        <v>74</v>
      </c>
      <c r="C77" s="1">
        <v>42886</v>
      </c>
      <c r="D77" s="2">
        <v>5</v>
      </c>
      <c r="E77" s="3">
        <v>142.173902827776</v>
      </c>
      <c r="F77" s="3">
        <v>233.89715923981899</v>
      </c>
      <c r="G77" s="2">
        <v>2017</v>
      </c>
      <c r="H77" s="15" t="str">
        <f t="shared" ca="1" si="37"/>
        <v>WET</v>
      </c>
      <c r="I77" s="15" t="str">
        <f t="shared" ca="1" si="38"/>
        <v>WET</v>
      </c>
      <c r="O77" s="4"/>
      <c r="S77" s="5"/>
    </row>
    <row r="78" spans="1:19" x14ac:dyDescent="0.25">
      <c r="A78" s="2">
        <f t="shared" si="36"/>
        <v>3</v>
      </c>
      <c r="B78" s="2">
        <f t="shared" si="39"/>
        <v>75</v>
      </c>
      <c r="C78" s="1">
        <v>43616</v>
      </c>
      <c r="D78" s="2">
        <v>5</v>
      </c>
      <c r="E78" s="3">
        <v>117.37385052627999</v>
      </c>
      <c r="F78" s="3">
        <v>193.09739453655001</v>
      </c>
      <c r="G78" s="2">
        <v>2019</v>
      </c>
      <c r="H78" s="15" t="str">
        <f t="shared" ca="1" si="37"/>
        <v>WET</v>
      </c>
      <c r="I78" s="15" t="str">
        <f t="shared" ca="1" si="38"/>
        <v>WET</v>
      </c>
      <c r="O78" s="4"/>
      <c r="S78" s="5"/>
    </row>
    <row r="79" spans="1:19" x14ac:dyDescent="0.25">
      <c r="A79" s="2">
        <f t="shared" si="36"/>
        <v>4</v>
      </c>
      <c r="B79" s="2">
        <f t="shared" si="39"/>
        <v>76</v>
      </c>
      <c r="C79" s="1">
        <v>41790</v>
      </c>
      <c r="D79" s="2">
        <v>5</v>
      </c>
      <c r="E79" s="3">
        <v>113.847710877566</v>
      </c>
      <c r="F79" s="3">
        <v>187.29637177137801</v>
      </c>
      <c r="G79" s="2">
        <v>2014</v>
      </c>
      <c r="H79" s="15" t="str">
        <f t="shared" ca="1" si="37"/>
        <v>WET</v>
      </c>
      <c r="I79" s="15" t="str">
        <f t="shared" ca="1" si="38"/>
        <v>WET</v>
      </c>
      <c r="O79" s="4"/>
      <c r="S79" s="5"/>
    </row>
    <row r="80" spans="1:19" x14ac:dyDescent="0.25">
      <c r="A80" s="2">
        <f t="shared" si="36"/>
        <v>5</v>
      </c>
      <c r="B80" s="2">
        <f t="shared" si="39"/>
        <v>77</v>
      </c>
      <c r="C80" s="1">
        <v>42155</v>
      </c>
      <c r="D80" s="2">
        <v>5</v>
      </c>
      <c r="E80" s="3">
        <v>104.93361160897599</v>
      </c>
      <c r="F80" s="3">
        <v>172.63135621904701</v>
      </c>
      <c r="G80" s="2">
        <v>2015</v>
      </c>
      <c r="H80" s="15" t="str">
        <f t="shared" ca="1" si="37"/>
        <v>WET</v>
      </c>
      <c r="I80" s="15" t="str">
        <f t="shared" ca="1" si="38"/>
        <v>WET</v>
      </c>
      <c r="O80" s="4"/>
      <c r="S80" s="5"/>
    </row>
    <row r="81" spans="1:19" x14ac:dyDescent="0.25">
      <c r="A81" s="2">
        <f t="shared" si="36"/>
        <v>6</v>
      </c>
      <c r="B81" s="2">
        <f t="shared" si="39"/>
        <v>78</v>
      </c>
      <c r="C81" s="1">
        <v>44712</v>
      </c>
      <c r="D81" s="2">
        <v>5</v>
      </c>
      <c r="E81" s="3">
        <v>99.189059339521094</v>
      </c>
      <c r="F81" s="3">
        <v>163.18071562885501</v>
      </c>
      <c r="G81" s="2">
        <v>2022</v>
      </c>
      <c r="H81" s="15" t="str">
        <f t="shared" ca="1" si="37"/>
        <v>WET</v>
      </c>
      <c r="I81" s="15" t="str">
        <f t="shared" ca="1" si="38"/>
        <v>WET</v>
      </c>
      <c r="O81" s="4"/>
      <c r="S81" s="5"/>
    </row>
    <row r="82" spans="1:19" x14ac:dyDescent="0.25">
      <c r="A82" s="2">
        <f t="shared" si="36"/>
        <v>7</v>
      </c>
      <c r="B82" s="2">
        <f t="shared" si="39"/>
        <v>79</v>
      </c>
      <c r="C82" s="1">
        <v>41425</v>
      </c>
      <c r="D82" s="2">
        <v>5</v>
      </c>
      <c r="E82" s="3">
        <v>89.883319170625697</v>
      </c>
      <c r="F82" s="3">
        <v>147.871392702234</v>
      </c>
      <c r="G82" s="2">
        <v>2013</v>
      </c>
      <c r="H82" s="15" t="str">
        <f t="shared" ca="1" si="37"/>
        <v>AVG</v>
      </c>
      <c r="I82" s="15" t="str">
        <f t="shared" ca="1" si="38"/>
        <v>AVG</v>
      </c>
      <c r="O82" s="4"/>
      <c r="S82" s="5"/>
    </row>
    <row r="83" spans="1:19" x14ac:dyDescent="0.25">
      <c r="A83" s="2">
        <f t="shared" si="36"/>
        <v>8</v>
      </c>
      <c r="B83" s="2">
        <f t="shared" si="39"/>
        <v>80</v>
      </c>
      <c r="C83" s="1">
        <v>42521</v>
      </c>
      <c r="D83" s="2">
        <v>5</v>
      </c>
      <c r="E83" s="3">
        <v>88.148256942701707</v>
      </c>
      <c r="F83" s="3">
        <v>145.01695797023299</v>
      </c>
      <c r="G83" s="2">
        <v>2016</v>
      </c>
      <c r="H83" s="15" t="str">
        <f t="shared" ca="1" si="37"/>
        <v>AVG</v>
      </c>
      <c r="I83" s="15" t="str">
        <f t="shared" ca="1" si="38"/>
        <v>AVG</v>
      </c>
      <c r="O83" s="4"/>
      <c r="S83" s="5"/>
    </row>
    <row r="84" spans="1:19" x14ac:dyDescent="0.25">
      <c r="A84" s="2">
        <f t="shared" si="36"/>
        <v>9</v>
      </c>
      <c r="B84" s="2">
        <f t="shared" si="39"/>
        <v>81</v>
      </c>
      <c r="C84" s="1">
        <v>43982</v>
      </c>
      <c r="D84" s="2">
        <v>5</v>
      </c>
      <c r="E84" s="3">
        <v>86.194579434226796</v>
      </c>
      <c r="F84" s="3">
        <v>141.80286867385499</v>
      </c>
      <c r="G84" s="2">
        <v>2020</v>
      </c>
      <c r="H84" s="15" t="str">
        <f t="shared" ca="1" si="37"/>
        <v>AVG</v>
      </c>
      <c r="I84" s="15" t="str">
        <f t="shared" ca="1" si="38"/>
        <v>AVG</v>
      </c>
      <c r="O84" s="4"/>
      <c r="S84" s="5"/>
    </row>
    <row r="85" spans="1:19" x14ac:dyDescent="0.25">
      <c r="A85" s="2">
        <f t="shared" si="36"/>
        <v>10</v>
      </c>
      <c r="B85" s="2">
        <f t="shared" si="39"/>
        <v>82</v>
      </c>
      <c r="C85" s="1">
        <v>39599</v>
      </c>
      <c r="D85" s="2">
        <v>5</v>
      </c>
      <c r="E85" s="3">
        <v>83.393829092139697</v>
      </c>
      <c r="F85" s="3">
        <v>137.19521891729099</v>
      </c>
      <c r="G85" s="2">
        <v>2008</v>
      </c>
      <c r="H85" s="15" t="str">
        <f t="shared" ca="1" si="37"/>
        <v>AVG</v>
      </c>
      <c r="I85" s="15" t="str">
        <f t="shared" ca="1" si="38"/>
        <v>AVG</v>
      </c>
      <c r="O85" s="4"/>
      <c r="S85" s="5"/>
    </row>
    <row r="86" spans="1:19" x14ac:dyDescent="0.25">
      <c r="A86" s="2">
        <f t="shared" si="36"/>
        <v>11</v>
      </c>
      <c r="B86" s="2">
        <f t="shared" si="39"/>
        <v>83</v>
      </c>
      <c r="C86" s="1">
        <v>39233</v>
      </c>
      <c r="D86" s="2">
        <v>5</v>
      </c>
      <c r="E86" s="3">
        <v>81.782903206801095</v>
      </c>
      <c r="F86" s="3">
        <v>134.54500688236499</v>
      </c>
      <c r="G86" s="2">
        <v>2007</v>
      </c>
      <c r="H86" s="15" t="str">
        <f t="shared" ca="1" si="37"/>
        <v>AVG</v>
      </c>
      <c r="I86" s="15" t="str">
        <f t="shared" ca="1" si="38"/>
        <v>AVG</v>
      </c>
      <c r="O86" s="4"/>
      <c r="S86" s="5"/>
    </row>
    <row r="87" spans="1:19" x14ac:dyDescent="0.25">
      <c r="A87" s="2">
        <f t="shared" si="36"/>
        <v>12</v>
      </c>
      <c r="B87" s="2">
        <f t="shared" si="39"/>
        <v>84</v>
      </c>
      <c r="C87" s="1">
        <v>40329</v>
      </c>
      <c r="D87" s="2">
        <v>5</v>
      </c>
      <c r="E87" s="3">
        <v>73.007770727089706</v>
      </c>
      <c r="F87" s="3">
        <v>120.108612311107</v>
      </c>
      <c r="G87" s="2">
        <v>2010</v>
      </c>
      <c r="H87" s="15" t="str">
        <f t="shared" ca="1" si="37"/>
        <v>DRY</v>
      </c>
      <c r="I87" s="15" t="str">
        <f t="shared" ca="1" si="38"/>
        <v>DRY</v>
      </c>
      <c r="O87" s="4"/>
      <c r="S87" s="5"/>
    </row>
    <row r="88" spans="1:19" x14ac:dyDescent="0.25">
      <c r="A88" s="2">
        <f t="shared" si="36"/>
        <v>13</v>
      </c>
      <c r="B88" s="2">
        <f t="shared" si="39"/>
        <v>85</v>
      </c>
      <c r="C88" s="1">
        <v>45077</v>
      </c>
      <c r="D88" s="2">
        <v>5</v>
      </c>
      <c r="E88" s="3">
        <v>62.617559744065296</v>
      </c>
      <c r="F88" s="3">
        <v>103.015174032383</v>
      </c>
      <c r="G88" s="2">
        <v>2023</v>
      </c>
      <c r="H88" s="15" t="str">
        <f t="shared" ca="1" si="37"/>
        <v>DRY</v>
      </c>
      <c r="I88" s="15" t="str">
        <f t="shared" ca="1" si="38"/>
        <v>DRY</v>
      </c>
      <c r="O88" s="4"/>
      <c r="S88" s="5"/>
    </row>
    <row r="89" spans="1:19" x14ac:dyDescent="0.25">
      <c r="A89" s="2">
        <f t="shared" si="36"/>
        <v>14</v>
      </c>
      <c r="B89" s="2">
        <f t="shared" si="39"/>
        <v>86</v>
      </c>
      <c r="C89" s="1">
        <v>39964</v>
      </c>
      <c r="D89" s="2">
        <v>5</v>
      </c>
      <c r="E89" s="3">
        <v>58.725097181703099</v>
      </c>
      <c r="F89" s="3">
        <v>96.611495736468001</v>
      </c>
      <c r="G89" s="2">
        <v>2009</v>
      </c>
      <c r="H89" s="15" t="str">
        <f t="shared" ca="1" si="37"/>
        <v>DRY</v>
      </c>
      <c r="I89" s="15" t="str">
        <f t="shared" ca="1" si="38"/>
        <v>DRY</v>
      </c>
      <c r="O89" s="4"/>
      <c r="S89" s="5"/>
    </row>
    <row r="90" spans="1:19" x14ac:dyDescent="0.25">
      <c r="A90" s="2">
        <f t="shared" si="36"/>
        <v>15</v>
      </c>
      <c r="B90" s="2">
        <f t="shared" si="39"/>
        <v>87</v>
      </c>
      <c r="C90" s="1">
        <v>41060</v>
      </c>
      <c r="D90" s="2">
        <v>5</v>
      </c>
      <c r="E90" s="3">
        <v>52.324028218358599</v>
      </c>
      <c r="F90" s="3">
        <v>86.080787801706705</v>
      </c>
      <c r="G90" s="2">
        <v>2012</v>
      </c>
      <c r="H90" s="15" t="str">
        <f t="shared" ca="1" si="37"/>
        <v>DRY</v>
      </c>
      <c r="I90" s="15" t="str">
        <f t="shared" ca="1" si="38"/>
        <v>DRY</v>
      </c>
      <c r="O90" s="4"/>
      <c r="S90" s="5"/>
    </row>
    <row r="91" spans="1:19" x14ac:dyDescent="0.25">
      <c r="A91" s="48">
        <f t="shared" si="36"/>
        <v>16</v>
      </c>
      <c r="B91" s="2">
        <f t="shared" si="39"/>
        <v>88</v>
      </c>
      <c r="C91" s="1">
        <v>38868</v>
      </c>
      <c r="D91" s="2">
        <v>5</v>
      </c>
      <c r="E91" s="3">
        <v>40.9348795000287</v>
      </c>
      <c r="F91" s="3">
        <v>67.343948772928499</v>
      </c>
      <c r="G91" s="2">
        <v>2006</v>
      </c>
      <c r="H91" s="15" t="str">
        <f t="shared" ca="1" si="37"/>
        <v>DRY</v>
      </c>
      <c r="I91" s="15" t="str">
        <f t="shared" ca="1" si="38"/>
        <v>DRY</v>
      </c>
      <c r="O91" s="4"/>
      <c r="S91" s="5"/>
    </row>
    <row r="92" spans="1:19" x14ac:dyDescent="0.25">
      <c r="A92" s="2">
        <f t="shared" si="36"/>
        <v>17</v>
      </c>
      <c r="B92" s="2">
        <f t="shared" si="39"/>
        <v>89</v>
      </c>
      <c r="C92" s="1">
        <v>43251</v>
      </c>
      <c r="D92" s="2">
        <v>5</v>
      </c>
      <c r="E92" s="3">
        <v>39.855068609233797</v>
      </c>
      <c r="F92" s="3">
        <v>65.567499685931807</v>
      </c>
      <c r="G92" s="2">
        <v>2018</v>
      </c>
      <c r="H92" s="15" t="str">
        <f t="shared" ca="1" si="37"/>
        <v>DRY</v>
      </c>
      <c r="I92" s="15" t="str">
        <f t="shared" ca="1" si="38"/>
        <v>DRY</v>
      </c>
      <c r="O92" s="4"/>
      <c r="S92" s="5"/>
    </row>
    <row r="93" spans="1:19" x14ac:dyDescent="0.25">
      <c r="A93" s="2">
        <f t="shared" si="36"/>
        <v>18</v>
      </c>
      <c r="B93" s="2">
        <f t="shared" si="39"/>
        <v>90</v>
      </c>
      <c r="C93" s="1">
        <v>40694</v>
      </c>
      <c r="D93" s="2">
        <v>5</v>
      </c>
      <c r="E93" s="3">
        <v>18.843545217425898</v>
      </c>
      <c r="F93" s="3">
        <v>31.000427003133201</v>
      </c>
      <c r="G93" s="2">
        <v>2011</v>
      </c>
      <c r="H93" s="15" t="str">
        <f t="shared" ca="1" si="37"/>
        <v>DRY</v>
      </c>
      <c r="I93" s="15" t="str">
        <f t="shared" ca="1" si="38"/>
        <v>DRY</v>
      </c>
      <c r="O93" s="4"/>
      <c r="S93" s="5"/>
    </row>
    <row r="94" spans="1:19" x14ac:dyDescent="0.25">
      <c r="A94" s="2">
        <f t="shared" si="36"/>
        <v>1</v>
      </c>
      <c r="B94" s="2">
        <f t="shared" si="39"/>
        <v>91</v>
      </c>
      <c r="C94" s="1">
        <v>42916</v>
      </c>
      <c r="D94" s="2">
        <v>6</v>
      </c>
      <c r="E94" s="3">
        <v>167.557346991625</v>
      </c>
      <c r="F94" s="3">
        <v>275.656690092953</v>
      </c>
      <c r="G94" s="2">
        <v>2017</v>
      </c>
      <c r="H94" s="15" t="str">
        <f t="shared" ca="1" si="37"/>
        <v>WET</v>
      </c>
      <c r="I94" s="15" t="str">
        <f t="shared" ca="1" si="38"/>
        <v>WET</v>
      </c>
      <c r="O94" s="4"/>
      <c r="S94" s="5"/>
    </row>
    <row r="95" spans="1:19" x14ac:dyDescent="0.25">
      <c r="A95" s="2">
        <f t="shared" si="36"/>
        <v>2</v>
      </c>
      <c r="B95" s="2">
        <f t="shared" si="39"/>
        <v>92</v>
      </c>
      <c r="C95" s="1">
        <v>44377</v>
      </c>
      <c r="D95" s="2">
        <v>6</v>
      </c>
      <c r="E95" s="3">
        <v>150.53218260972801</v>
      </c>
      <c r="F95" s="3">
        <v>247.64776929023401</v>
      </c>
      <c r="G95" s="2">
        <v>2021</v>
      </c>
      <c r="H95" s="15" t="str">
        <f t="shared" ca="1" si="37"/>
        <v>WET</v>
      </c>
      <c r="I95" s="15" t="str">
        <f t="shared" ca="1" si="38"/>
        <v>WET</v>
      </c>
      <c r="O95" s="4"/>
      <c r="S95" s="5"/>
    </row>
    <row r="96" spans="1:19" x14ac:dyDescent="0.25">
      <c r="A96" s="2">
        <f t="shared" si="36"/>
        <v>3</v>
      </c>
      <c r="B96" s="2">
        <f t="shared" si="39"/>
        <v>93</v>
      </c>
      <c r="C96" s="1">
        <v>43646</v>
      </c>
      <c r="D96" s="2">
        <v>6</v>
      </c>
      <c r="E96" s="3">
        <v>116.74071095943</v>
      </c>
      <c r="F96" s="3">
        <v>192.05578603356</v>
      </c>
      <c r="G96" s="2">
        <v>2019</v>
      </c>
      <c r="H96" s="15" t="str">
        <f t="shared" ca="1" si="37"/>
        <v>WET</v>
      </c>
      <c r="I96" s="15" t="str">
        <f t="shared" ca="1" si="38"/>
        <v>WET</v>
      </c>
      <c r="O96" s="4"/>
      <c r="S96" s="5"/>
    </row>
    <row r="97" spans="1:19" x14ac:dyDescent="0.25">
      <c r="A97" s="2">
        <f t="shared" si="36"/>
        <v>4</v>
      </c>
      <c r="B97" s="2">
        <f t="shared" si="39"/>
        <v>94</v>
      </c>
      <c r="C97" s="1">
        <v>42551</v>
      </c>
      <c r="D97" s="2">
        <v>6</v>
      </c>
      <c r="E97" s="3">
        <v>112.459169989534</v>
      </c>
      <c r="F97" s="3">
        <v>185.012016044066</v>
      </c>
      <c r="G97" s="2">
        <v>2016</v>
      </c>
      <c r="H97" s="15" t="str">
        <f t="shared" ca="1" si="37"/>
        <v>WET</v>
      </c>
      <c r="I97" s="15" t="str">
        <f t="shared" ca="1" si="38"/>
        <v>WET</v>
      </c>
      <c r="O97" s="4"/>
      <c r="S97" s="5"/>
    </row>
    <row r="98" spans="1:19" x14ac:dyDescent="0.25">
      <c r="A98" s="2">
        <f t="shared" si="36"/>
        <v>5</v>
      </c>
      <c r="B98" s="2">
        <f t="shared" si="39"/>
        <v>95</v>
      </c>
      <c r="C98" s="1">
        <v>41820</v>
      </c>
      <c r="D98" s="2">
        <v>6</v>
      </c>
      <c r="E98" s="3">
        <v>107.589964785791</v>
      </c>
      <c r="F98" s="3">
        <v>177.00145121986699</v>
      </c>
      <c r="G98" s="2">
        <v>2014</v>
      </c>
      <c r="H98" s="15" t="str">
        <f t="shared" ca="1" si="37"/>
        <v>WET</v>
      </c>
      <c r="I98" s="15" t="str">
        <f t="shared" ca="1" si="38"/>
        <v>WET</v>
      </c>
      <c r="O98" s="4"/>
      <c r="S98" s="5"/>
    </row>
    <row r="99" spans="1:19" x14ac:dyDescent="0.25">
      <c r="A99" s="2">
        <f t="shared" si="36"/>
        <v>6</v>
      </c>
      <c r="B99" s="2">
        <f t="shared" si="39"/>
        <v>96</v>
      </c>
      <c r="C99" s="1">
        <v>44012</v>
      </c>
      <c r="D99" s="2">
        <v>6</v>
      </c>
      <c r="E99" s="3">
        <v>102.357308815092</v>
      </c>
      <c r="F99" s="3">
        <v>168.392955972267</v>
      </c>
      <c r="G99" s="2">
        <v>2020</v>
      </c>
      <c r="H99" s="15" t="str">
        <f t="shared" ca="1" si="37"/>
        <v>WET</v>
      </c>
      <c r="I99" s="15" t="str">
        <f t="shared" ca="1" si="38"/>
        <v>WET</v>
      </c>
      <c r="O99" s="4"/>
      <c r="S99" s="5"/>
    </row>
    <row r="100" spans="1:19" x14ac:dyDescent="0.25">
      <c r="A100" s="2">
        <f t="shared" si="36"/>
        <v>7</v>
      </c>
      <c r="B100" s="2">
        <f t="shared" si="39"/>
        <v>97</v>
      </c>
      <c r="C100" s="1">
        <v>40359</v>
      </c>
      <c r="D100" s="2">
        <v>6</v>
      </c>
      <c r="E100" s="3">
        <v>95.213096407740395</v>
      </c>
      <c r="F100" s="3">
        <v>156.63966683938199</v>
      </c>
      <c r="G100" s="2">
        <v>2010</v>
      </c>
      <c r="H100" s="15" t="str">
        <f t="shared" ca="1" si="37"/>
        <v>AVG</v>
      </c>
      <c r="I100" s="15" t="str">
        <f t="shared" ca="1" si="38"/>
        <v>WET</v>
      </c>
      <c r="O100" s="4"/>
      <c r="S100" s="5"/>
    </row>
    <row r="101" spans="1:19" x14ac:dyDescent="0.25">
      <c r="A101" s="2">
        <f t="shared" si="36"/>
        <v>8</v>
      </c>
      <c r="B101" s="2">
        <f t="shared" si="39"/>
        <v>98</v>
      </c>
      <c r="C101" s="1">
        <v>42185</v>
      </c>
      <c r="D101" s="2">
        <v>6</v>
      </c>
      <c r="E101" s="3">
        <v>85.562073514636197</v>
      </c>
      <c r="F101" s="3">
        <v>140.76230261459901</v>
      </c>
      <c r="G101" s="2">
        <v>2015</v>
      </c>
      <c r="H101" s="15" t="str">
        <f t="shared" ca="1" si="37"/>
        <v>AVG</v>
      </c>
      <c r="I101" s="15" t="str">
        <f t="shared" ca="1" si="38"/>
        <v>AVG</v>
      </c>
      <c r="O101" s="4"/>
      <c r="S101" s="5"/>
    </row>
    <row r="102" spans="1:19" x14ac:dyDescent="0.25">
      <c r="A102" s="2">
        <f t="shared" si="36"/>
        <v>9</v>
      </c>
      <c r="B102" s="2">
        <f t="shared" si="39"/>
        <v>99</v>
      </c>
      <c r="C102" s="1">
        <v>43281</v>
      </c>
      <c r="D102" s="2">
        <v>6</v>
      </c>
      <c r="E102" s="3">
        <v>80.570939463593206</v>
      </c>
      <c r="F102" s="3">
        <v>132.55114675051399</v>
      </c>
      <c r="G102" s="2">
        <v>2018</v>
      </c>
      <c r="H102" s="15" t="str">
        <f t="shared" ca="1" si="37"/>
        <v>AVG</v>
      </c>
      <c r="I102" s="15" t="str">
        <f t="shared" ca="1" si="38"/>
        <v>AVG</v>
      </c>
      <c r="O102" s="4"/>
      <c r="S102" s="5"/>
    </row>
    <row r="103" spans="1:19" x14ac:dyDescent="0.25">
      <c r="A103" s="2">
        <f t="shared" si="36"/>
        <v>10</v>
      </c>
      <c r="B103" s="2">
        <f t="shared" si="39"/>
        <v>100</v>
      </c>
      <c r="C103" s="1">
        <v>39263</v>
      </c>
      <c r="D103" s="2">
        <v>6</v>
      </c>
      <c r="E103" s="3">
        <v>78.933583317813401</v>
      </c>
      <c r="F103" s="3">
        <v>129.85745301668101</v>
      </c>
      <c r="G103" s="2">
        <v>2007</v>
      </c>
      <c r="H103" s="15" t="str">
        <f t="shared" ca="1" si="37"/>
        <v>AVG</v>
      </c>
      <c r="I103" s="15" t="str">
        <f t="shared" ca="1" si="38"/>
        <v>AVG</v>
      </c>
      <c r="O103" s="4"/>
      <c r="S103" s="5"/>
    </row>
    <row r="104" spans="1:19" x14ac:dyDescent="0.25">
      <c r="A104" s="2">
        <f t="shared" si="36"/>
        <v>11</v>
      </c>
      <c r="B104" s="2">
        <f t="shared" si="39"/>
        <v>101</v>
      </c>
      <c r="C104" s="1">
        <v>41090</v>
      </c>
      <c r="D104" s="2">
        <v>6</v>
      </c>
      <c r="E104" s="3">
        <v>77.880665036805695</v>
      </c>
      <c r="F104" s="3">
        <v>128.125246261847</v>
      </c>
      <c r="G104" s="2">
        <v>2012</v>
      </c>
      <c r="H104" s="15" t="str">
        <f t="shared" ca="1" si="37"/>
        <v>AVG</v>
      </c>
      <c r="I104" s="15" t="str">
        <f t="shared" ca="1" si="38"/>
        <v>AVG</v>
      </c>
      <c r="O104" s="4"/>
      <c r="S104" s="5"/>
    </row>
    <row r="105" spans="1:19" x14ac:dyDescent="0.25">
      <c r="A105" s="2">
        <f t="shared" si="36"/>
        <v>12</v>
      </c>
      <c r="B105" s="2">
        <f t="shared" si="39"/>
        <v>102</v>
      </c>
      <c r="C105" s="1">
        <v>39629</v>
      </c>
      <c r="D105" s="2">
        <v>6</v>
      </c>
      <c r="E105" s="3">
        <v>67.542363134894302</v>
      </c>
      <c r="F105" s="3">
        <v>111.117206121387</v>
      </c>
      <c r="G105" s="2">
        <v>2008</v>
      </c>
      <c r="H105" s="15" t="str">
        <f t="shared" ca="1" si="37"/>
        <v>DRY</v>
      </c>
      <c r="I105" s="15" t="str">
        <f t="shared" ca="1" si="38"/>
        <v>DRY</v>
      </c>
      <c r="O105" s="4"/>
      <c r="S105" s="5"/>
    </row>
    <row r="106" spans="1:19" x14ac:dyDescent="0.25">
      <c r="A106" s="2">
        <f t="shared" si="36"/>
        <v>13</v>
      </c>
      <c r="B106" s="2">
        <f t="shared" si="39"/>
        <v>103</v>
      </c>
      <c r="C106" s="1">
        <v>45107</v>
      </c>
      <c r="D106" s="2">
        <v>6</v>
      </c>
      <c r="E106" s="3">
        <v>63.440366019163697</v>
      </c>
      <c r="F106" s="3">
        <v>104.368812404282</v>
      </c>
      <c r="G106" s="2">
        <v>2023</v>
      </c>
      <c r="H106" s="15" t="str">
        <f t="shared" ca="1" si="37"/>
        <v>DRY</v>
      </c>
      <c r="I106" s="15" t="str">
        <f t="shared" ca="1" si="38"/>
        <v>DRY</v>
      </c>
      <c r="O106" s="4"/>
      <c r="S106" s="5"/>
    </row>
    <row r="107" spans="1:19" x14ac:dyDescent="0.25">
      <c r="A107" s="2">
        <f t="shared" si="36"/>
        <v>14</v>
      </c>
      <c r="B107" s="2">
        <f t="shared" si="39"/>
        <v>104</v>
      </c>
      <c r="C107" s="1">
        <v>41455</v>
      </c>
      <c r="D107" s="2">
        <v>6</v>
      </c>
      <c r="E107" s="3">
        <v>62.555692905953897</v>
      </c>
      <c r="F107" s="3">
        <v>102.913393906794</v>
      </c>
      <c r="G107" s="2">
        <v>2013</v>
      </c>
      <c r="H107" s="15" t="str">
        <f t="shared" ca="1" si="37"/>
        <v>DRY</v>
      </c>
      <c r="I107" s="15" t="str">
        <f t="shared" ca="1" si="38"/>
        <v>DRY</v>
      </c>
      <c r="O107" s="4"/>
      <c r="S107" s="5"/>
    </row>
    <row r="108" spans="1:19" x14ac:dyDescent="0.25">
      <c r="A108" s="2">
        <f t="shared" si="36"/>
        <v>15</v>
      </c>
      <c r="B108" s="2">
        <f t="shared" si="39"/>
        <v>105</v>
      </c>
      <c r="C108" s="1">
        <v>44742</v>
      </c>
      <c r="D108" s="2">
        <v>6</v>
      </c>
      <c r="E108" s="3">
        <v>59.375076263589399</v>
      </c>
      <c r="F108" s="3">
        <v>97.680807739548399</v>
      </c>
      <c r="G108" s="2">
        <v>2022</v>
      </c>
      <c r="H108" s="15" t="str">
        <f t="shared" ca="1" si="37"/>
        <v>DRY</v>
      </c>
      <c r="I108" s="15" t="str">
        <f t="shared" ca="1" si="38"/>
        <v>DRY</v>
      </c>
      <c r="O108" s="4"/>
      <c r="S108" s="5"/>
    </row>
    <row r="109" spans="1:19" x14ac:dyDescent="0.25">
      <c r="A109" s="2">
        <f t="shared" si="36"/>
        <v>16</v>
      </c>
      <c r="B109" s="2">
        <f t="shared" si="39"/>
        <v>106</v>
      </c>
      <c r="C109" s="1">
        <v>40724</v>
      </c>
      <c r="D109" s="2">
        <v>6</v>
      </c>
      <c r="E109" s="3">
        <v>51.351543221501103</v>
      </c>
      <c r="F109" s="3">
        <v>84.480905730213905</v>
      </c>
      <c r="G109" s="2">
        <v>2011</v>
      </c>
      <c r="H109" s="15" t="str">
        <f t="shared" ca="1" si="37"/>
        <v>DRY</v>
      </c>
      <c r="I109" s="15" t="str">
        <f t="shared" ca="1" si="38"/>
        <v>DRY</v>
      </c>
      <c r="O109" s="4"/>
      <c r="S109" s="5"/>
    </row>
    <row r="110" spans="1:19" x14ac:dyDescent="0.25">
      <c r="A110" s="50">
        <f t="shared" si="36"/>
        <v>17</v>
      </c>
      <c r="B110" s="2">
        <f t="shared" si="39"/>
        <v>107</v>
      </c>
      <c r="C110" s="1">
        <v>38898</v>
      </c>
      <c r="D110" s="2">
        <v>6</v>
      </c>
      <c r="E110" s="3">
        <v>42.750624595488297</v>
      </c>
      <c r="F110" s="3">
        <v>70.331118789961096</v>
      </c>
      <c r="G110" s="2">
        <v>2006</v>
      </c>
      <c r="H110" s="15" t="str">
        <f t="shared" ca="1" si="37"/>
        <v>DRY</v>
      </c>
      <c r="I110" s="15" t="str">
        <f t="shared" ca="1" si="38"/>
        <v>DRY</v>
      </c>
      <c r="O110" s="4"/>
      <c r="S110" s="5"/>
    </row>
    <row r="111" spans="1:19" x14ac:dyDescent="0.25">
      <c r="A111" s="2">
        <f t="shared" si="36"/>
        <v>18</v>
      </c>
      <c r="B111" s="2">
        <f t="shared" si="39"/>
        <v>108</v>
      </c>
      <c r="C111" s="1">
        <v>39994</v>
      </c>
      <c r="D111" s="2">
        <v>6</v>
      </c>
      <c r="E111" s="3">
        <v>27.601540154735599</v>
      </c>
      <c r="F111" s="3">
        <v>45.4086277750772</v>
      </c>
      <c r="G111" s="2">
        <v>2009</v>
      </c>
      <c r="H111" s="15" t="str">
        <f t="shared" ca="1" si="37"/>
        <v>DRY</v>
      </c>
      <c r="I111" s="15" t="str">
        <f t="shared" ca="1" si="38"/>
        <v>DRY</v>
      </c>
      <c r="O111" s="4"/>
      <c r="S111" s="5"/>
    </row>
    <row r="112" spans="1:19" x14ac:dyDescent="0.25">
      <c r="A112" s="2">
        <f t="shared" si="36"/>
        <v>1</v>
      </c>
      <c r="B112" s="2">
        <f t="shared" si="39"/>
        <v>109</v>
      </c>
      <c r="C112" s="1">
        <v>44043</v>
      </c>
      <c r="D112" s="2">
        <v>7</v>
      </c>
      <c r="E112" s="3">
        <v>138.04789144978</v>
      </c>
      <c r="F112" s="3">
        <v>227.10925849917899</v>
      </c>
      <c r="G112" s="2">
        <v>2020</v>
      </c>
      <c r="H112" s="15" t="str">
        <f t="shared" ca="1" si="37"/>
        <v>WET</v>
      </c>
      <c r="I112" s="15" t="str">
        <f t="shared" ca="1" si="38"/>
        <v>WET</v>
      </c>
      <c r="O112" s="4"/>
      <c r="S112" s="5"/>
    </row>
    <row r="113" spans="1:19" x14ac:dyDescent="0.25">
      <c r="A113" s="2">
        <f t="shared" si="36"/>
        <v>2</v>
      </c>
      <c r="B113" s="2">
        <f t="shared" si="39"/>
        <v>110</v>
      </c>
      <c r="C113" s="1">
        <v>43677</v>
      </c>
      <c r="D113" s="2">
        <v>7</v>
      </c>
      <c r="E113" s="3">
        <v>135.41469100748799</v>
      </c>
      <c r="F113" s="3">
        <v>222.777253180966</v>
      </c>
      <c r="G113" s="2">
        <v>2019</v>
      </c>
      <c r="H113" s="15" t="str">
        <f t="shared" ca="1" si="37"/>
        <v>WET</v>
      </c>
      <c r="I113" s="15" t="str">
        <f t="shared" ca="1" si="38"/>
        <v>WET</v>
      </c>
      <c r="O113" s="4"/>
      <c r="S113" s="5"/>
    </row>
    <row r="114" spans="1:19" x14ac:dyDescent="0.25">
      <c r="A114" s="2">
        <f t="shared" si="36"/>
        <v>3</v>
      </c>
      <c r="B114" s="2">
        <f t="shared" si="39"/>
        <v>111</v>
      </c>
      <c r="C114" s="1">
        <v>44408</v>
      </c>
      <c r="D114" s="2">
        <v>7</v>
      </c>
      <c r="E114" s="3">
        <v>135.35766701718001</v>
      </c>
      <c r="F114" s="3">
        <v>222.68344025836601</v>
      </c>
      <c r="G114" s="2">
        <v>2021</v>
      </c>
      <c r="H114" s="15" t="str">
        <f t="shared" ca="1" si="37"/>
        <v>WET</v>
      </c>
      <c r="I114" s="15" t="str">
        <f t="shared" ca="1" si="38"/>
        <v>WET</v>
      </c>
      <c r="O114" s="4"/>
      <c r="S114" s="5"/>
    </row>
    <row r="115" spans="1:19" x14ac:dyDescent="0.25">
      <c r="A115" s="2">
        <f t="shared" si="36"/>
        <v>4</v>
      </c>
      <c r="B115" s="2">
        <f t="shared" si="39"/>
        <v>112</v>
      </c>
      <c r="C115" s="1">
        <v>39294</v>
      </c>
      <c r="D115" s="2">
        <v>7</v>
      </c>
      <c r="E115" s="3">
        <v>135.08236297866301</v>
      </c>
      <c r="F115" s="3">
        <v>222.230524278319</v>
      </c>
      <c r="G115" s="2">
        <v>2007</v>
      </c>
      <c r="H115" s="15" t="str">
        <f t="shared" ca="1" si="37"/>
        <v>WET</v>
      </c>
      <c r="I115" s="15" t="str">
        <f t="shared" ca="1" si="38"/>
        <v>WET</v>
      </c>
      <c r="O115" s="4"/>
      <c r="S115" s="5"/>
    </row>
    <row r="116" spans="1:19" x14ac:dyDescent="0.25">
      <c r="A116" s="2">
        <f t="shared" si="36"/>
        <v>5</v>
      </c>
      <c r="B116" s="2">
        <f t="shared" si="39"/>
        <v>113</v>
      </c>
      <c r="C116" s="1">
        <v>40755</v>
      </c>
      <c r="D116" s="2">
        <v>7</v>
      </c>
      <c r="E116" s="3">
        <v>131.89298417672899</v>
      </c>
      <c r="F116" s="3">
        <v>216.98352305886399</v>
      </c>
      <c r="G116" s="2">
        <v>2011</v>
      </c>
      <c r="H116" s="15" t="str">
        <f t="shared" ca="1" si="37"/>
        <v>WET</v>
      </c>
      <c r="I116" s="15" t="str">
        <f t="shared" ca="1" si="38"/>
        <v>WET</v>
      </c>
      <c r="O116" s="4"/>
      <c r="S116" s="5"/>
    </row>
    <row r="117" spans="1:19" x14ac:dyDescent="0.25">
      <c r="A117" s="2">
        <f t="shared" si="36"/>
        <v>6</v>
      </c>
      <c r="B117" s="2">
        <f t="shared" si="39"/>
        <v>114</v>
      </c>
      <c r="C117" s="1">
        <v>41121</v>
      </c>
      <c r="D117" s="2">
        <v>7</v>
      </c>
      <c r="E117" s="3">
        <v>131.74026239791601</v>
      </c>
      <c r="F117" s="3">
        <v>216.732273079029</v>
      </c>
      <c r="G117" s="2">
        <v>2012</v>
      </c>
      <c r="H117" s="15" t="str">
        <f t="shared" ca="1" si="37"/>
        <v>WET</v>
      </c>
      <c r="I117" s="15" t="str">
        <f t="shared" ca="1" si="38"/>
        <v>WET</v>
      </c>
      <c r="O117" s="4"/>
      <c r="S117" s="5"/>
    </row>
    <row r="118" spans="1:19" x14ac:dyDescent="0.25">
      <c r="A118" s="2">
        <f t="shared" si="36"/>
        <v>7</v>
      </c>
      <c r="B118" s="2">
        <f t="shared" si="39"/>
        <v>115</v>
      </c>
      <c r="C118" s="1">
        <v>38929</v>
      </c>
      <c r="D118" s="2">
        <v>7</v>
      </c>
      <c r="E118" s="3">
        <v>127.31990035863301</v>
      </c>
      <c r="F118" s="3">
        <v>209.46012183864201</v>
      </c>
      <c r="G118" s="2">
        <v>2006</v>
      </c>
      <c r="H118" s="15" t="str">
        <f t="shared" ca="1" si="37"/>
        <v>WET</v>
      </c>
      <c r="I118" s="15" t="str">
        <f t="shared" ca="1" si="38"/>
        <v>WET</v>
      </c>
      <c r="O118" s="4"/>
      <c r="S118" s="5"/>
    </row>
    <row r="119" spans="1:19" x14ac:dyDescent="0.25">
      <c r="A119" s="2">
        <f t="shared" si="36"/>
        <v>8</v>
      </c>
      <c r="B119" s="2">
        <f t="shared" si="39"/>
        <v>116</v>
      </c>
      <c r="C119" s="1">
        <v>44773</v>
      </c>
      <c r="D119" s="2">
        <v>7</v>
      </c>
      <c r="E119" s="3">
        <v>119.92335139750701</v>
      </c>
      <c r="F119" s="3">
        <v>197.291701644949</v>
      </c>
      <c r="G119" s="2">
        <v>2022</v>
      </c>
      <c r="H119" s="15" t="str">
        <f t="shared" ca="1" si="37"/>
        <v>WET</v>
      </c>
      <c r="I119" s="15" t="str">
        <f t="shared" ca="1" si="38"/>
        <v>WET</v>
      </c>
      <c r="O119" s="4"/>
      <c r="S119" s="5"/>
    </row>
    <row r="120" spans="1:19" x14ac:dyDescent="0.25">
      <c r="A120" s="2">
        <f t="shared" si="36"/>
        <v>9</v>
      </c>
      <c r="B120" s="2">
        <f t="shared" si="39"/>
        <v>117</v>
      </c>
      <c r="C120" s="1">
        <v>43312</v>
      </c>
      <c r="D120" s="2">
        <v>7</v>
      </c>
      <c r="E120" s="3">
        <v>114.397304731432</v>
      </c>
      <c r="F120" s="3">
        <v>188.20053518391899</v>
      </c>
      <c r="G120" s="2">
        <v>2018</v>
      </c>
      <c r="H120" s="15" t="str">
        <f t="shared" ca="1" si="37"/>
        <v>WET</v>
      </c>
      <c r="I120" s="15" t="str">
        <f t="shared" ca="1" si="38"/>
        <v>AVG</v>
      </c>
      <c r="O120" s="4"/>
      <c r="S120" s="5"/>
    </row>
    <row r="121" spans="1:19" x14ac:dyDescent="0.25">
      <c r="A121" s="2">
        <f t="shared" si="36"/>
        <v>10</v>
      </c>
      <c r="B121" s="2">
        <f t="shared" si="39"/>
        <v>118</v>
      </c>
      <c r="C121" s="1">
        <v>41851</v>
      </c>
      <c r="D121" s="2">
        <v>7</v>
      </c>
      <c r="E121" s="3">
        <v>102.680422023798</v>
      </c>
      <c r="F121" s="3">
        <v>168.924525128955</v>
      </c>
      <c r="G121" s="2">
        <v>2014</v>
      </c>
      <c r="H121" s="15" t="str">
        <f t="shared" ca="1" si="37"/>
        <v>AVG</v>
      </c>
      <c r="I121" s="15" t="str">
        <f t="shared" ca="1" si="38"/>
        <v>AVG</v>
      </c>
      <c r="O121" s="4"/>
      <c r="S121" s="5"/>
    </row>
    <row r="122" spans="1:19" x14ac:dyDescent="0.25">
      <c r="A122" s="2">
        <f t="shared" si="36"/>
        <v>11</v>
      </c>
      <c r="B122" s="2">
        <f t="shared" si="39"/>
        <v>119</v>
      </c>
      <c r="C122" s="1">
        <v>40025</v>
      </c>
      <c r="D122" s="2">
        <v>7</v>
      </c>
      <c r="E122" s="3">
        <v>100.268648550663</v>
      </c>
      <c r="F122" s="3">
        <v>164.95680001994</v>
      </c>
      <c r="G122" s="2">
        <v>2009</v>
      </c>
      <c r="H122" s="15" t="str">
        <f t="shared" ca="1" si="37"/>
        <v>AVG</v>
      </c>
      <c r="I122" s="15" t="str">
        <f t="shared" ca="1" si="38"/>
        <v>AVG</v>
      </c>
      <c r="O122" s="4"/>
      <c r="S122" s="5"/>
    </row>
    <row r="123" spans="1:19" x14ac:dyDescent="0.25">
      <c r="A123" s="2">
        <f t="shared" si="36"/>
        <v>12</v>
      </c>
      <c r="B123" s="2">
        <f t="shared" si="39"/>
        <v>120</v>
      </c>
      <c r="C123" s="1">
        <v>42947</v>
      </c>
      <c r="D123" s="2">
        <v>7</v>
      </c>
      <c r="E123" s="3">
        <v>84.941477450666298</v>
      </c>
      <c r="F123" s="3">
        <v>139.741330034464</v>
      </c>
      <c r="G123" s="2">
        <v>2017</v>
      </c>
      <c r="H123" s="15" t="str">
        <f t="shared" ca="1" si="37"/>
        <v>DRY</v>
      </c>
      <c r="I123" s="15" t="str">
        <f t="shared" ca="1" si="38"/>
        <v>DRY</v>
      </c>
      <c r="O123" s="4"/>
      <c r="S123" s="5"/>
    </row>
    <row r="124" spans="1:19" x14ac:dyDescent="0.25">
      <c r="A124" s="2">
        <f t="shared" si="36"/>
        <v>13</v>
      </c>
      <c r="B124" s="2">
        <f t="shared" si="39"/>
        <v>121</v>
      </c>
      <c r="C124" s="1">
        <v>40390</v>
      </c>
      <c r="D124" s="2">
        <v>7</v>
      </c>
      <c r="E124" s="3">
        <v>83.841148790313994</v>
      </c>
      <c r="F124" s="3">
        <v>137.93112617308199</v>
      </c>
      <c r="G124" s="2">
        <v>2010</v>
      </c>
      <c r="H124" s="15" t="str">
        <f t="shared" ca="1" si="37"/>
        <v>DRY</v>
      </c>
      <c r="I124" s="15" t="str">
        <f t="shared" ca="1" si="38"/>
        <v>DRY</v>
      </c>
      <c r="O124" s="4"/>
      <c r="S124" s="5"/>
    </row>
    <row r="125" spans="1:19" x14ac:dyDescent="0.25">
      <c r="A125" s="2">
        <f t="shared" si="36"/>
        <v>14</v>
      </c>
      <c r="B125" s="2">
        <f t="shared" si="39"/>
        <v>122</v>
      </c>
      <c r="C125" s="1">
        <v>41486</v>
      </c>
      <c r="D125" s="2">
        <v>7</v>
      </c>
      <c r="E125" s="3">
        <v>83.213958144220499</v>
      </c>
      <c r="F125" s="3">
        <v>136.89930452715899</v>
      </c>
      <c r="G125" s="2">
        <v>2013</v>
      </c>
      <c r="H125" s="15" t="str">
        <f t="shared" ca="1" si="37"/>
        <v>DRY</v>
      </c>
      <c r="I125" s="15" t="str">
        <f t="shared" ca="1" si="38"/>
        <v>DRY</v>
      </c>
      <c r="O125" s="4"/>
      <c r="S125" s="5"/>
    </row>
    <row r="126" spans="1:19" x14ac:dyDescent="0.25">
      <c r="A126" s="2">
        <f t="shared" si="36"/>
        <v>15</v>
      </c>
      <c r="B126" s="2">
        <f t="shared" si="39"/>
        <v>123</v>
      </c>
      <c r="C126" s="1">
        <v>42582</v>
      </c>
      <c r="D126" s="2">
        <v>7</v>
      </c>
      <c r="E126" s="3">
        <v>77.812574503682399</v>
      </c>
      <c r="F126" s="3">
        <v>128.01322723478299</v>
      </c>
      <c r="G126" s="2">
        <v>2016</v>
      </c>
      <c r="H126" s="15" t="str">
        <f t="shared" ca="1" si="37"/>
        <v>DRY</v>
      </c>
      <c r="I126" s="15" t="str">
        <f t="shared" ca="1" si="38"/>
        <v>DRY</v>
      </c>
      <c r="O126" s="4"/>
      <c r="S126" s="5"/>
    </row>
    <row r="127" spans="1:19" x14ac:dyDescent="0.25">
      <c r="A127" s="2">
        <f t="shared" si="36"/>
        <v>16</v>
      </c>
      <c r="B127" s="2">
        <f t="shared" si="39"/>
        <v>124</v>
      </c>
      <c r="C127" s="1">
        <v>39660</v>
      </c>
      <c r="D127" s="2">
        <v>7</v>
      </c>
      <c r="E127" s="3">
        <v>64.734075297054801</v>
      </c>
      <c r="F127" s="3">
        <v>106.49715606625099</v>
      </c>
      <c r="G127" s="2">
        <v>2008</v>
      </c>
      <c r="H127" s="15" t="str">
        <f t="shared" ca="1" si="37"/>
        <v>DRY</v>
      </c>
      <c r="I127" s="15" t="str">
        <f t="shared" ca="1" si="38"/>
        <v>DRY</v>
      </c>
      <c r="O127" s="4"/>
      <c r="S127" s="5"/>
    </row>
    <row r="128" spans="1:19" x14ac:dyDescent="0.25">
      <c r="A128" s="2">
        <f t="shared" si="36"/>
        <v>17</v>
      </c>
      <c r="B128" s="2">
        <f t="shared" si="39"/>
        <v>125</v>
      </c>
      <c r="C128" s="1">
        <v>45138</v>
      </c>
      <c r="D128" s="2">
        <v>7</v>
      </c>
      <c r="E128" s="3">
        <v>63.624380671365103</v>
      </c>
      <c r="F128" s="3">
        <v>104.671543802607</v>
      </c>
      <c r="G128" s="2">
        <v>2023</v>
      </c>
      <c r="H128" s="15" t="str">
        <f t="shared" ca="1" si="37"/>
        <v>DRY</v>
      </c>
      <c r="I128" s="15" t="str">
        <f t="shared" ca="1" si="38"/>
        <v>DRY</v>
      </c>
      <c r="O128" s="4"/>
      <c r="S128" s="5"/>
    </row>
    <row r="129" spans="1:19" x14ac:dyDescent="0.25">
      <c r="A129" s="2">
        <f t="shared" si="36"/>
        <v>18</v>
      </c>
      <c r="B129" s="2">
        <f t="shared" si="39"/>
        <v>126</v>
      </c>
      <c r="C129" s="1">
        <v>42216</v>
      </c>
      <c r="D129" s="2">
        <v>7</v>
      </c>
      <c r="E129" s="3">
        <v>48.9325961637918</v>
      </c>
      <c r="F129" s="3">
        <v>80.501379010495896</v>
      </c>
      <c r="G129" s="2">
        <v>2015</v>
      </c>
      <c r="H129" s="15" t="str">
        <f t="shared" ca="1" si="37"/>
        <v>DRY</v>
      </c>
      <c r="I129" s="15" t="str">
        <f t="shared" ca="1" si="38"/>
        <v>DRY</v>
      </c>
      <c r="O129" s="4"/>
      <c r="S129" s="5"/>
    </row>
    <row r="130" spans="1:19" x14ac:dyDescent="0.25">
      <c r="A130" s="2">
        <f t="shared" si="36"/>
        <v>1</v>
      </c>
      <c r="B130" s="2">
        <f t="shared" si="39"/>
        <v>127</v>
      </c>
      <c r="C130" s="1">
        <v>42978</v>
      </c>
      <c r="D130" s="2">
        <v>8</v>
      </c>
      <c r="E130" s="3">
        <v>271.731946071366</v>
      </c>
      <c r="F130" s="3">
        <v>447.03935811476902</v>
      </c>
      <c r="G130" s="2">
        <v>2017</v>
      </c>
      <c r="H130" s="15" t="str">
        <f t="shared" ca="1" si="37"/>
        <v>WET</v>
      </c>
      <c r="I130" s="15" t="str">
        <f t="shared" ca="1" si="38"/>
        <v>WET</v>
      </c>
      <c r="O130" s="4"/>
      <c r="S130" s="5"/>
    </row>
    <row r="131" spans="1:19" x14ac:dyDescent="0.25">
      <c r="A131" s="2">
        <f t="shared" si="36"/>
        <v>2</v>
      </c>
      <c r="B131" s="2">
        <f t="shared" si="39"/>
        <v>128</v>
      </c>
      <c r="C131" s="1">
        <v>42613</v>
      </c>
      <c r="D131" s="2">
        <v>8</v>
      </c>
      <c r="E131" s="3">
        <v>199.52789779162899</v>
      </c>
      <c r="F131" s="3">
        <v>328.25298844815501</v>
      </c>
      <c r="G131" s="2">
        <v>2016</v>
      </c>
      <c r="H131" s="15" t="str">
        <f t="shared" ca="1" si="37"/>
        <v>WET</v>
      </c>
      <c r="I131" s="15" t="str">
        <f t="shared" ca="1" si="38"/>
        <v>WET</v>
      </c>
      <c r="O131" s="4"/>
      <c r="S131" s="5"/>
    </row>
    <row r="132" spans="1:19" x14ac:dyDescent="0.25">
      <c r="A132" s="2">
        <f t="shared" ref="A132:A195" si="40">IF(D132=D131,A131+1,1)</f>
        <v>3</v>
      </c>
      <c r="B132" s="2">
        <f t="shared" si="39"/>
        <v>129</v>
      </c>
      <c r="C132" s="1">
        <v>44804</v>
      </c>
      <c r="D132" s="2">
        <v>8</v>
      </c>
      <c r="E132" s="3">
        <v>165.33326836297101</v>
      </c>
      <c r="F132" s="3">
        <v>271.99775084445901</v>
      </c>
      <c r="G132" s="2">
        <v>2022</v>
      </c>
      <c r="H132" s="15" t="str">
        <f t="shared" ca="1" si="37"/>
        <v>WET</v>
      </c>
      <c r="I132" s="15" t="str">
        <f t="shared" ca="1" si="38"/>
        <v>WET</v>
      </c>
      <c r="O132" s="4"/>
      <c r="S132" s="5"/>
    </row>
    <row r="133" spans="1:19" x14ac:dyDescent="0.25">
      <c r="A133" s="2">
        <f t="shared" si="40"/>
        <v>4</v>
      </c>
      <c r="B133" s="2">
        <f t="shared" si="39"/>
        <v>130</v>
      </c>
      <c r="C133" s="1">
        <v>41152</v>
      </c>
      <c r="D133" s="2">
        <v>8</v>
      </c>
      <c r="E133" s="3">
        <v>165.05745856930201</v>
      </c>
      <c r="F133" s="3">
        <v>271.54400282216602</v>
      </c>
      <c r="G133" s="2">
        <v>2012</v>
      </c>
      <c r="H133" s="15" t="str">
        <f t="shared" ref="H133:H196" ca="1" si="41">IF(F133&lt;VLOOKUP($D133,$T$4:$AS$15,23,FALSE),"DRY",IF(F133&gt;VLOOKUP($D133,$T$4:$AS$15,24,FALSE),"WET","AVG"))</f>
        <v>WET</v>
      </c>
      <c r="I133" s="15" t="str">
        <f t="shared" ref="I133:I196" ca="1" si="42">IF(F133&lt;VLOOKUP($D133,$T$4:$AS$15,25,FALSE),"DRY",IF(F133&gt;VLOOKUP($D133,$T$4:$AS$15,26,FALSE),"WET","AVG"))</f>
        <v>WET</v>
      </c>
      <c r="O133" s="4"/>
      <c r="S133" s="5"/>
    </row>
    <row r="134" spans="1:19" x14ac:dyDescent="0.25">
      <c r="A134" s="2">
        <f t="shared" si="40"/>
        <v>5</v>
      </c>
      <c r="B134" s="2">
        <f t="shared" ref="B134:B197" si="43">B133+1</f>
        <v>131</v>
      </c>
      <c r="C134" s="1">
        <v>44439</v>
      </c>
      <c r="D134" s="2">
        <v>8</v>
      </c>
      <c r="E134" s="3">
        <v>150.10625538561601</v>
      </c>
      <c r="F134" s="3">
        <v>246.947055827486</v>
      </c>
      <c r="G134" s="2">
        <v>2021</v>
      </c>
      <c r="H134" s="15" t="str">
        <f t="shared" ca="1" si="41"/>
        <v>WET</v>
      </c>
      <c r="I134" s="15" t="str">
        <f t="shared" ca="1" si="42"/>
        <v>WET</v>
      </c>
      <c r="O134" s="4"/>
      <c r="S134" s="5"/>
    </row>
    <row r="135" spans="1:19" x14ac:dyDescent="0.25">
      <c r="A135" s="2">
        <f t="shared" si="40"/>
        <v>6</v>
      </c>
      <c r="B135" s="2">
        <f t="shared" si="43"/>
        <v>132</v>
      </c>
      <c r="C135" s="1">
        <v>39691</v>
      </c>
      <c r="D135" s="2">
        <v>8</v>
      </c>
      <c r="E135" s="3">
        <v>133.16957141429199</v>
      </c>
      <c r="F135" s="3">
        <v>219.08369842472899</v>
      </c>
      <c r="G135" s="2">
        <v>2008</v>
      </c>
      <c r="H135" s="15" t="str">
        <f t="shared" ca="1" si="41"/>
        <v>WET</v>
      </c>
      <c r="I135" s="15" t="str">
        <f t="shared" ca="1" si="42"/>
        <v>WET</v>
      </c>
      <c r="O135" s="4"/>
      <c r="S135" s="5"/>
    </row>
    <row r="136" spans="1:19" x14ac:dyDescent="0.25">
      <c r="A136" s="2">
        <f t="shared" si="40"/>
        <v>7</v>
      </c>
      <c r="B136" s="2">
        <f t="shared" si="43"/>
        <v>133</v>
      </c>
      <c r="C136" s="1">
        <v>40421</v>
      </c>
      <c r="D136" s="2">
        <v>8</v>
      </c>
      <c r="E136" s="3">
        <v>126.706963481694</v>
      </c>
      <c r="F136" s="3">
        <v>208.45174975728199</v>
      </c>
      <c r="G136" s="2">
        <v>2010</v>
      </c>
      <c r="H136" s="15" t="str">
        <f t="shared" ca="1" si="41"/>
        <v>AVG</v>
      </c>
      <c r="I136" s="15" t="str">
        <f t="shared" ca="1" si="42"/>
        <v>WET</v>
      </c>
      <c r="O136" s="4"/>
      <c r="S136" s="5"/>
    </row>
    <row r="137" spans="1:19" x14ac:dyDescent="0.25">
      <c r="A137" s="2">
        <f t="shared" si="40"/>
        <v>8</v>
      </c>
      <c r="B137" s="2">
        <f t="shared" si="43"/>
        <v>134</v>
      </c>
      <c r="C137" s="1">
        <v>43708</v>
      </c>
      <c r="D137" s="2">
        <v>8</v>
      </c>
      <c r="E137" s="3">
        <v>122.785946099699</v>
      </c>
      <c r="F137" s="3">
        <v>202.00109454744799</v>
      </c>
      <c r="G137" s="2">
        <v>2019</v>
      </c>
      <c r="H137" s="15" t="str">
        <f t="shared" ca="1" si="41"/>
        <v>AVG</v>
      </c>
      <c r="I137" s="15" t="str">
        <f t="shared" ca="1" si="42"/>
        <v>WET</v>
      </c>
      <c r="O137" s="4"/>
      <c r="S137" s="5"/>
    </row>
    <row r="138" spans="1:19" x14ac:dyDescent="0.25">
      <c r="A138" s="2">
        <f t="shared" si="40"/>
        <v>9</v>
      </c>
      <c r="B138" s="2">
        <f t="shared" si="43"/>
        <v>135</v>
      </c>
      <c r="C138" s="1">
        <v>44074</v>
      </c>
      <c r="D138" s="2">
        <v>8</v>
      </c>
      <c r="E138" s="3">
        <v>112.836261418631</v>
      </c>
      <c r="F138" s="3">
        <v>185.632387380051</v>
      </c>
      <c r="G138" s="2">
        <v>2020</v>
      </c>
      <c r="H138" s="15" t="str">
        <f t="shared" ca="1" si="41"/>
        <v>AVG</v>
      </c>
      <c r="I138" s="15" t="str">
        <f t="shared" ca="1" si="42"/>
        <v>AVG</v>
      </c>
      <c r="O138" s="4"/>
      <c r="S138" s="5"/>
    </row>
    <row r="139" spans="1:19" x14ac:dyDescent="0.25">
      <c r="A139" s="2">
        <f t="shared" si="40"/>
        <v>10</v>
      </c>
      <c r="B139" s="2">
        <f t="shared" si="43"/>
        <v>136</v>
      </c>
      <c r="C139" s="1">
        <v>43343</v>
      </c>
      <c r="D139" s="2">
        <v>8</v>
      </c>
      <c r="E139" s="3">
        <v>90.138341846208206</v>
      </c>
      <c r="F139" s="3">
        <v>148.29094283185799</v>
      </c>
      <c r="G139" s="2">
        <v>2018</v>
      </c>
      <c r="H139" s="15" t="str">
        <f t="shared" ca="1" si="41"/>
        <v>DRY</v>
      </c>
      <c r="I139" s="15" t="str">
        <f t="shared" ca="1" si="42"/>
        <v>AVG</v>
      </c>
      <c r="O139" s="4"/>
      <c r="S139" s="5"/>
    </row>
    <row r="140" spans="1:19" x14ac:dyDescent="0.25">
      <c r="A140" s="2">
        <f t="shared" si="40"/>
        <v>11</v>
      </c>
      <c r="B140" s="2">
        <f t="shared" si="43"/>
        <v>137</v>
      </c>
      <c r="C140" s="1">
        <v>41882</v>
      </c>
      <c r="D140" s="2">
        <v>8</v>
      </c>
      <c r="E140" s="3">
        <v>87.884424826225299</v>
      </c>
      <c r="F140" s="3">
        <v>144.58291500360801</v>
      </c>
      <c r="G140" s="2">
        <v>2014</v>
      </c>
      <c r="H140" s="15" t="str">
        <f t="shared" ca="1" si="41"/>
        <v>DRY</v>
      </c>
      <c r="I140" s="15" t="str">
        <f t="shared" ca="1" si="42"/>
        <v>AVG</v>
      </c>
      <c r="O140" s="4"/>
      <c r="S140" s="5"/>
    </row>
    <row r="141" spans="1:19" x14ac:dyDescent="0.25">
      <c r="A141" s="2">
        <f t="shared" si="40"/>
        <v>12</v>
      </c>
      <c r="B141" s="2">
        <f t="shared" si="43"/>
        <v>138</v>
      </c>
      <c r="C141" s="1">
        <v>38960</v>
      </c>
      <c r="D141" s="2">
        <v>8</v>
      </c>
      <c r="E141" s="3">
        <v>86.657557001874494</v>
      </c>
      <c r="F141" s="3">
        <v>142.564535447509</v>
      </c>
      <c r="G141" s="2">
        <v>2006</v>
      </c>
      <c r="H141" s="15" t="str">
        <f t="shared" ca="1" si="41"/>
        <v>DRY</v>
      </c>
      <c r="I141" s="15" t="str">
        <f t="shared" ca="1" si="42"/>
        <v>AVG</v>
      </c>
      <c r="O141" s="4"/>
      <c r="S141" s="5"/>
    </row>
    <row r="142" spans="1:19" x14ac:dyDescent="0.25">
      <c r="A142" s="2">
        <f t="shared" si="40"/>
        <v>13</v>
      </c>
      <c r="B142" s="2">
        <f t="shared" si="43"/>
        <v>139</v>
      </c>
      <c r="C142" s="1">
        <v>40056</v>
      </c>
      <c r="D142" s="2">
        <v>8</v>
      </c>
      <c r="E142" s="3">
        <v>70.730985435634807</v>
      </c>
      <c r="F142" s="3">
        <v>116.36296278416501</v>
      </c>
      <c r="G142" s="2">
        <v>2009</v>
      </c>
      <c r="H142" s="15" t="str">
        <f t="shared" ca="1" si="41"/>
        <v>DRY</v>
      </c>
      <c r="I142" s="15" t="str">
        <f t="shared" ca="1" si="42"/>
        <v>DRY</v>
      </c>
      <c r="O142" s="4"/>
      <c r="S142" s="5"/>
    </row>
    <row r="143" spans="1:19" x14ac:dyDescent="0.25">
      <c r="A143" s="2">
        <f t="shared" si="40"/>
        <v>14</v>
      </c>
      <c r="B143" s="2">
        <f t="shared" si="43"/>
        <v>140</v>
      </c>
      <c r="C143" s="1">
        <v>41517</v>
      </c>
      <c r="D143" s="2">
        <v>8</v>
      </c>
      <c r="E143" s="3">
        <v>70.106695227518102</v>
      </c>
      <c r="F143" s="3">
        <v>115.335912788944</v>
      </c>
      <c r="G143" s="2">
        <v>2013</v>
      </c>
      <c r="H143" s="15" t="str">
        <f t="shared" ca="1" si="41"/>
        <v>DRY</v>
      </c>
      <c r="I143" s="15" t="str">
        <f t="shared" ca="1" si="42"/>
        <v>DRY</v>
      </c>
      <c r="O143" s="4"/>
      <c r="S143" s="5"/>
    </row>
    <row r="144" spans="1:19" x14ac:dyDescent="0.25">
      <c r="A144" s="2">
        <f t="shared" si="40"/>
        <v>15</v>
      </c>
      <c r="B144" s="2">
        <f t="shared" si="43"/>
        <v>141</v>
      </c>
      <c r="C144" s="1">
        <v>39325</v>
      </c>
      <c r="D144" s="2">
        <v>8</v>
      </c>
      <c r="E144" s="3">
        <v>61.713436179067799</v>
      </c>
      <c r="F144" s="3">
        <v>101.52775665656</v>
      </c>
      <c r="G144" s="2">
        <v>2007</v>
      </c>
      <c r="H144" s="15" t="str">
        <f t="shared" ca="1" si="41"/>
        <v>DRY</v>
      </c>
      <c r="I144" s="15" t="str">
        <f t="shared" ca="1" si="42"/>
        <v>DRY</v>
      </c>
      <c r="O144" s="4"/>
      <c r="S144" s="5"/>
    </row>
    <row r="145" spans="1:19" x14ac:dyDescent="0.25">
      <c r="A145" s="2">
        <f t="shared" si="40"/>
        <v>16</v>
      </c>
      <c r="B145" s="2">
        <f t="shared" si="43"/>
        <v>142</v>
      </c>
      <c r="C145" s="1">
        <v>42247</v>
      </c>
      <c r="D145" s="2">
        <v>8</v>
      </c>
      <c r="E145" s="3">
        <v>58.768465007796003</v>
      </c>
      <c r="F145" s="3">
        <v>96.682842243272603</v>
      </c>
      <c r="G145" s="2">
        <v>2015</v>
      </c>
      <c r="H145" s="15" t="str">
        <f t="shared" ca="1" si="41"/>
        <v>DRY</v>
      </c>
      <c r="I145" s="15" t="str">
        <f t="shared" ca="1" si="42"/>
        <v>DRY</v>
      </c>
      <c r="O145" s="4"/>
      <c r="S145" s="5"/>
    </row>
    <row r="146" spans="1:19" x14ac:dyDescent="0.25">
      <c r="A146" s="2">
        <f t="shared" si="40"/>
        <v>17</v>
      </c>
      <c r="B146" s="2">
        <f t="shared" si="43"/>
        <v>143</v>
      </c>
      <c r="C146" s="1">
        <v>40786</v>
      </c>
      <c r="D146" s="2">
        <v>8</v>
      </c>
      <c r="E146" s="3">
        <v>33.082657935903001</v>
      </c>
      <c r="F146" s="3">
        <v>54.425879555995799</v>
      </c>
      <c r="G146" s="2">
        <v>2011</v>
      </c>
      <c r="H146" s="15" t="str">
        <f t="shared" ca="1" si="41"/>
        <v>DRY</v>
      </c>
      <c r="I146" s="15" t="str">
        <f t="shared" ca="1" si="42"/>
        <v>DRY</v>
      </c>
      <c r="O146" s="4"/>
      <c r="S146" s="5"/>
    </row>
    <row r="147" spans="1:19" x14ac:dyDescent="0.25">
      <c r="A147" s="2">
        <f t="shared" si="40"/>
        <v>18</v>
      </c>
      <c r="B147" s="2">
        <f t="shared" si="43"/>
        <v>144</v>
      </c>
      <c r="C147" s="1">
        <v>45169</v>
      </c>
      <c r="D147" s="2">
        <v>8</v>
      </c>
      <c r="E147" s="3">
        <v>25.3473630874675</v>
      </c>
      <c r="F147" s="3">
        <v>41.700172130469603</v>
      </c>
      <c r="G147" s="2">
        <v>2023</v>
      </c>
      <c r="H147" s="15" t="str">
        <f t="shared" ca="1" si="41"/>
        <v>DRY</v>
      </c>
      <c r="I147" s="15" t="str">
        <f t="shared" ca="1" si="42"/>
        <v>DRY</v>
      </c>
      <c r="O147" s="4"/>
      <c r="S147" s="5"/>
    </row>
    <row r="148" spans="1:19" x14ac:dyDescent="0.25">
      <c r="A148" s="2">
        <f t="shared" si="40"/>
        <v>1</v>
      </c>
      <c r="B148" s="2">
        <f t="shared" si="43"/>
        <v>145</v>
      </c>
      <c r="C148" s="1">
        <v>43373</v>
      </c>
      <c r="D148" s="2">
        <v>9</v>
      </c>
      <c r="E148" s="3">
        <v>154.725933786431</v>
      </c>
      <c r="F148" s="3">
        <v>254.547112047799</v>
      </c>
      <c r="G148" s="2">
        <v>2018</v>
      </c>
      <c r="H148" s="15" t="str">
        <f t="shared" ca="1" si="41"/>
        <v>WET</v>
      </c>
      <c r="I148" s="15" t="str">
        <f t="shared" ca="1" si="42"/>
        <v>WET</v>
      </c>
      <c r="O148" s="4"/>
      <c r="S148" s="5"/>
    </row>
    <row r="149" spans="1:19" x14ac:dyDescent="0.25">
      <c r="A149" s="2">
        <f t="shared" si="40"/>
        <v>2</v>
      </c>
      <c r="B149" s="2">
        <f t="shared" si="43"/>
        <v>146</v>
      </c>
      <c r="C149" s="1">
        <v>44469</v>
      </c>
      <c r="D149" s="2">
        <v>9</v>
      </c>
      <c r="E149" s="3">
        <v>154.45033947158501</v>
      </c>
      <c r="F149" s="3">
        <v>254.093718520133</v>
      </c>
      <c r="G149" s="2">
        <v>2021</v>
      </c>
      <c r="H149" s="15" t="str">
        <f t="shared" ca="1" si="41"/>
        <v>WET</v>
      </c>
      <c r="I149" s="15" t="str">
        <f t="shared" ca="1" si="42"/>
        <v>WET</v>
      </c>
      <c r="O149" s="4"/>
      <c r="S149" s="5"/>
    </row>
    <row r="150" spans="1:19" x14ac:dyDescent="0.25">
      <c r="A150" s="2">
        <f t="shared" si="40"/>
        <v>3</v>
      </c>
      <c r="B150" s="2">
        <f t="shared" si="43"/>
        <v>147</v>
      </c>
      <c r="C150" s="1">
        <v>40816</v>
      </c>
      <c r="D150" s="2">
        <v>9</v>
      </c>
      <c r="E150" s="3">
        <v>145.53958555048601</v>
      </c>
      <c r="F150" s="3">
        <v>239.43420656064899</v>
      </c>
      <c r="G150" s="2">
        <v>2011</v>
      </c>
      <c r="H150" s="15" t="str">
        <f t="shared" ca="1" si="41"/>
        <v>WET</v>
      </c>
      <c r="I150" s="15" t="str">
        <f t="shared" ca="1" si="42"/>
        <v>WET</v>
      </c>
      <c r="O150" s="4"/>
      <c r="S150" s="5"/>
    </row>
    <row r="151" spans="1:19" x14ac:dyDescent="0.25">
      <c r="A151" s="2">
        <f t="shared" si="40"/>
        <v>4</v>
      </c>
      <c r="B151" s="2">
        <f t="shared" si="43"/>
        <v>148</v>
      </c>
      <c r="C151" s="1">
        <v>39721</v>
      </c>
      <c r="D151" s="2">
        <v>9</v>
      </c>
      <c r="E151" s="3">
        <v>125.13013634507099</v>
      </c>
      <c r="F151" s="3">
        <v>205.85763522196501</v>
      </c>
      <c r="G151" s="2">
        <v>2008</v>
      </c>
      <c r="H151" s="15" t="str">
        <f t="shared" ca="1" si="41"/>
        <v>WET</v>
      </c>
      <c r="I151" s="15" t="str">
        <f t="shared" ca="1" si="42"/>
        <v>WET</v>
      </c>
      <c r="O151" s="4"/>
      <c r="S151" s="5"/>
    </row>
    <row r="152" spans="1:19" x14ac:dyDescent="0.25">
      <c r="A152" s="2">
        <f t="shared" si="40"/>
        <v>5</v>
      </c>
      <c r="B152" s="2">
        <f t="shared" si="43"/>
        <v>149</v>
      </c>
      <c r="C152" s="1">
        <v>40086</v>
      </c>
      <c r="D152" s="2">
        <v>9</v>
      </c>
      <c r="E152" s="3">
        <v>102.104596723585</v>
      </c>
      <c r="F152" s="3">
        <v>167.97720709618301</v>
      </c>
      <c r="G152" s="2">
        <v>2009</v>
      </c>
      <c r="H152" s="15" t="str">
        <f t="shared" ca="1" si="41"/>
        <v>WET</v>
      </c>
      <c r="I152" s="15" t="str">
        <f t="shared" ca="1" si="42"/>
        <v>WET</v>
      </c>
      <c r="O152" s="4"/>
      <c r="S152" s="5"/>
    </row>
    <row r="153" spans="1:19" x14ac:dyDescent="0.25">
      <c r="A153" s="2">
        <f t="shared" si="40"/>
        <v>6</v>
      </c>
      <c r="B153" s="2">
        <f t="shared" si="43"/>
        <v>150</v>
      </c>
      <c r="C153" s="1">
        <v>41547</v>
      </c>
      <c r="D153" s="2">
        <v>9</v>
      </c>
      <c r="E153" s="3">
        <v>93.192310422506793</v>
      </c>
      <c r="F153" s="3">
        <v>153.315174144331</v>
      </c>
      <c r="G153" s="2">
        <v>2013</v>
      </c>
      <c r="H153" s="15" t="str">
        <f t="shared" ca="1" si="41"/>
        <v>AVG</v>
      </c>
      <c r="I153" s="15" t="str">
        <f t="shared" ca="1" si="42"/>
        <v>WET</v>
      </c>
      <c r="O153" s="4"/>
      <c r="S153" s="5"/>
    </row>
    <row r="154" spans="1:19" x14ac:dyDescent="0.25">
      <c r="A154" s="2">
        <f t="shared" si="40"/>
        <v>7</v>
      </c>
      <c r="B154" s="2">
        <f t="shared" si="43"/>
        <v>151</v>
      </c>
      <c r="C154" s="1">
        <v>39355</v>
      </c>
      <c r="D154" s="2">
        <v>9</v>
      </c>
      <c r="E154" s="3">
        <v>81.243951526483897</v>
      </c>
      <c r="F154" s="3">
        <v>133.65835142389901</v>
      </c>
      <c r="G154" s="2">
        <v>2007</v>
      </c>
      <c r="H154" s="15" t="str">
        <f t="shared" ca="1" si="41"/>
        <v>AVG</v>
      </c>
      <c r="I154" s="15" t="str">
        <f t="shared" ca="1" si="42"/>
        <v>AVG</v>
      </c>
      <c r="O154" s="4"/>
      <c r="S154" s="5"/>
    </row>
    <row r="155" spans="1:19" x14ac:dyDescent="0.25">
      <c r="A155" s="2">
        <f t="shared" si="40"/>
        <v>8</v>
      </c>
      <c r="B155" s="2">
        <f t="shared" si="43"/>
        <v>152</v>
      </c>
      <c r="C155" s="1">
        <v>41182</v>
      </c>
      <c r="D155" s="2">
        <v>9</v>
      </c>
      <c r="E155" s="3">
        <v>81.2182851307211</v>
      </c>
      <c r="F155" s="3">
        <v>133.61612639569401</v>
      </c>
      <c r="G155" s="2">
        <v>2012</v>
      </c>
      <c r="H155" s="15" t="str">
        <f t="shared" ca="1" si="41"/>
        <v>AVG</v>
      </c>
      <c r="I155" s="15" t="str">
        <f t="shared" ca="1" si="42"/>
        <v>AVG</v>
      </c>
      <c r="O155" s="4"/>
      <c r="S155" s="5"/>
    </row>
    <row r="156" spans="1:19" x14ac:dyDescent="0.25">
      <c r="A156" s="2">
        <f t="shared" si="40"/>
        <v>9</v>
      </c>
      <c r="B156" s="2">
        <f t="shared" si="43"/>
        <v>153</v>
      </c>
      <c r="C156" s="1">
        <v>44104</v>
      </c>
      <c r="D156" s="2">
        <v>9</v>
      </c>
      <c r="E156" s="3">
        <v>75.150278219388397</v>
      </c>
      <c r="F156" s="3">
        <v>123.633354940601</v>
      </c>
      <c r="G156" s="2">
        <v>2020</v>
      </c>
      <c r="H156" s="15" t="str">
        <f t="shared" ca="1" si="41"/>
        <v>AVG</v>
      </c>
      <c r="I156" s="15" t="str">
        <f t="shared" ca="1" si="42"/>
        <v>AVG</v>
      </c>
      <c r="O156" s="4"/>
      <c r="S156" s="5"/>
    </row>
    <row r="157" spans="1:19" x14ac:dyDescent="0.25">
      <c r="A157" s="2">
        <f t="shared" si="40"/>
        <v>10</v>
      </c>
      <c r="B157" s="2">
        <f t="shared" si="43"/>
        <v>154</v>
      </c>
      <c r="C157" s="1">
        <v>41912</v>
      </c>
      <c r="D157" s="2">
        <v>9</v>
      </c>
      <c r="E157" s="3">
        <v>68.775941419369104</v>
      </c>
      <c r="F157" s="3">
        <v>113.146625379773</v>
      </c>
      <c r="G157" s="2">
        <v>2014</v>
      </c>
      <c r="H157" s="15" t="str">
        <f t="shared" ca="1" si="41"/>
        <v>DRY</v>
      </c>
      <c r="I157" s="15" t="str">
        <f t="shared" ca="1" si="42"/>
        <v>AVG</v>
      </c>
      <c r="O157" s="4"/>
      <c r="S157" s="5"/>
    </row>
    <row r="158" spans="1:19" x14ac:dyDescent="0.25">
      <c r="A158" s="2">
        <f t="shared" si="40"/>
        <v>11</v>
      </c>
      <c r="B158" s="2">
        <f t="shared" si="43"/>
        <v>155</v>
      </c>
      <c r="C158" s="1">
        <v>42277</v>
      </c>
      <c r="D158" s="2">
        <v>9</v>
      </c>
      <c r="E158" s="3">
        <v>68.479049580662206</v>
      </c>
      <c r="F158" s="3">
        <v>112.658194266229</v>
      </c>
      <c r="G158" s="2">
        <v>2015</v>
      </c>
      <c r="H158" s="15" t="str">
        <f t="shared" ca="1" si="41"/>
        <v>DRY</v>
      </c>
      <c r="I158" s="15" t="str">
        <f t="shared" ca="1" si="42"/>
        <v>AVG</v>
      </c>
      <c r="O158" s="4"/>
      <c r="S158" s="5"/>
    </row>
    <row r="159" spans="1:19" x14ac:dyDescent="0.25">
      <c r="A159" s="2">
        <f t="shared" si="40"/>
        <v>12</v>
      </c>
      <c r="B159" s="2">
        <f t="shared" si="43"/>
        <v>156</v>
      </c>
      <c r="C159" s="1">
        <v>38990</v>
      </c>
      <c r="D159" s="2">
        <v>9</v>
      </c>
      <c r="E159" s="3">
        <v>62.974400039271401</v>
      </c>
      <c r="F159" s="3">
        <v>103.602229249205</v>
      </c>
      <c r="G159" s="2">
        <v>2006</v>
      </c>
      <c r="H159" s="15" t="str">
        <f t="shared" ca="1" si="41"/>
        <v>DRY</v>
      </c>
      <c r="I159" s="15" t="str">
        <f t="shared" ca="1" si="42"/>
        <v>AVG</v>
      </c>
      <c r="O159" s="4"/>
      <c r="S159" s="5"/>
    </row>
    <row r="160" spans="1:19" x14ac:dyDescent="0.25">
      <c r="A160" s="2">
        <f t="shared" si="40"/>
        <v>13</v>
      </c>
      <c r="B160" s="2">
        <f t="shared" si="43"/>
        <v>157</v>
      </c>
      <c r="C160" s="1">
        <v>43738</v>
      </c>
      <c r="D160" s="2">
        <v>9</v>
      </c>
      <c r="E160" s="3">
        <v>60.414513166261898</v>
      </c>
      <c r="F160" s="3">
        <v>99.390835627287004</v>
      </c>
      <c r="G160" s="2">
        <v>2019</v>
      </c>
      <c r="H160" s="15" t="str">
        <f t="shared" ca="1" si="41"/>
        <v>DRY</v>
      </c>
      <c r="I160" s="15" t="str">
        <f t="shared" ca="1" si="42"/>
        <v>AVG</v>
      </c>
      <c r="O160" s="4"/>
      <c r="S160" s="5"/>
    </row>
    <row r="161" spans="1:19" x14ac:dyDescent="0.25">
      <c r="A161" s="2">
        <f t="shared" si="40"/>
        <v>14</v>
      </c>
      <c r="B161" s="2">
        <f t="shared" si="43"/>
        <v>158</v>
      </c>
      <c r="C161" s="1">
        <v>42643</v>
      </c>
      <c r="D161" s="2">
        <v>9</v>
      </c>
      <c r="E161" s="3">
        <v>57.000924772954697</v>
      </c>
      <c r="F161" s="3">
        <v>93.774976372330997</v>
      </c>
      <c r="G161" s="2">
        <v>2016</v>
      </c>
      <c r="H161" s="15" t="str">
        <f t="shared" ca="1" si="41"/>
        <v>DRY</v>
      </c>
      <c r="I161" s="15" t="str">
        <f t="shared" ca="1" si="42"/>
        <v>DRY</v>
      </c>
      <c r="O161" s="4"/>
      <c r="S161" s="5"/>
    </row>
    <row r="162" spans="1:19" x14ac:dyDescent="0.25">
      <c r="A162" s="2">
        <f t="shared" si="40"/>
        <v>15</v>
      </c>
      <c r="B162" s="2">
        <f t="shared" si="43"/>
        <v>159</v>
      </c>
      <c r="C162" s="1">
        <v>45199</v>
      </c>
      <c r="D162" s="2">
        <v>9</v>
      </c>
      <c r="E162" s="3">
        <v>47.168319890554002</v>
      </c>
      <c r="F162" s="3">
        <v>77.5988828405454</v>
      </c>
      <c r="G162" s="2">
        <v>2023</v>
      </c>
      <c r="H162" s="15" t="str">
        <f t="shared" ca="1" si="41"/>
        <v>DRY</v>
      </c>
      <c r="I162" s="15" t="str">
        <f t="shared" ca="1" si="42"/>
        <v>DRY</v>
      </c>
      <c r="O162" s="4"/>
      <c r="S162" s="5"/>
    </row>
    <row r="163" spans="1:19" x14ac:dyDescent="0.25">
      <c r="A163" s="2">
        <f t="shared" si="40"/>
        <v>16</v>
      </c>
      <c r="B163" s="2">
        <f t="shared" si="43"/>
        <v>160</v>
      </c>
      <c r="C163" s="1">
        <v>44834</v>
      </c>
      <c r="D163" s="2">
        <v>9</v>
      </c>
      <c r="E163" s="3">
        <v>38.862830482600799</v>
      </c>
      <c r="F163" s="3">
        <v>63.935120785916503</v>
      </c>
      <c r="G163" s="2">
        <v>2022</v>
      </c>
      <c r="H163" s="15" t="str">
        <f t="shared" ca="1" si="41"/>
        <v>DRY</v>
      </c>
      <c r="I163" s="15" t="str">
        <f t="shared" ca="1" si="42"/>
        <v>DRY</v>
      </c>
      <c r="O163" s="4"/>
      <c r="S163" s="5"/>
    </row>
    <row r="164" spans="1:19" x14ac:dyDescent="0.25">
      <c r="A164" s="2">
        <f t="shared" si="40"/>
        <v>17</v>
      </c>
      <c r="B164" s="2">
        <f t="shared" si="43"/>
        <v>161</v>
      </c>
      <c r="C164" s="1">
        <v>40451</v>
      </c>
      <c r="D164" s="2">
        <v>9</v>
      </c>
      <c r="E164" s="3">
        <v>29.801382453919</v>
      </c>
      <c r="F164" s="3">
        <v>49.027694666543702</v>
      </c>
      <c r="G164" s="2">
        <v>2010</v>
      </c>
      <c r="H164" s="15" t="str">
        <f t="shared" ca="1" si="41"/>
        <v>DRY</v>
      </c>
      <c r="I164" s="15" t="str">
        <f t="shared" ca="1" si="42"/>
        <v>DRY</v>
      </c>
      <c r="O164" s="4"/>
      <c r="S164" s="5"/>
    </row>
    <row r="165" spans="1:19" x14ac:dyDescent="0.25">
      <c r="A165" s="2">
        <f t="shared" si="40"/>
        <v>18</v>
      </c>
      <c r="B165" s="2">
        <f t="shared" si="43"/>
        <v>162</v>
      </c>
      <c r="C165" s="1">
        <v>43008</v>
      </c>
      <c r="D165" s="2">
        <v>9</v>
      </c>
      <c r="E165" s="3">
        <v>20.898152464257102</v>
      </c>
      <c r="F165" s="3">
        <v>34.380560690322604</v>
      </c>
      <c r="G165" s="2">
        <v>2017</v>
      </c>
      <c r="H165" s="15" t="str">
        <f t="shared" ca="1" si="41"/>
        <v>DRY</v>
      </c>
      <c r="I165" s="15" t="str">
        <f t="shared" ca="1" si="42"/>
        <v>DRY</v>
      </c>
      <c r="O165" s="4"/>
      <c r="S165" s="5"/>
    </row>
    <row r="166" spans="1:19" x14ac:dyDescent="0.25">
      <c r="A166" s="2">
        <f t="shared" si="40"/>
        <v>1</v>
      </c>
      <c r="B166" s="2">
        <f t="shared" si="43"/>
        <v>163</v>
      </c>
      <c r="C166" s="1">
        <v>40117</v>
      </c>
      <c r="D166" s="2">
        <v>10</v>
      </c>
      <c r="E166" s="3">
        <v>159.87695389961701</v>
      </c>
      <c r="F166" s="3">
        <v>263.02130420049502</v>
      </c>
      <c r="G166" s="2">
        <v>2009</v>
      </c>
      <c r="H166" s="15" t="str">
        <f t="shared" ca="1" si="41"/>
        <v>WET</v>
      </c>
      <c r="I166" s="15" t="str">
        <f t="shared" ca="1" si="42"/>
        <v>WET</v>
      </c>
      <c r="O166" s="4"/>
      <c r="S166" s="5"/>
    </row>
    <row r="167" spans="1:19" x14ac:dyDescent="0.25">
      <c r="A167" s="2">
        <f t="shared" si="40"/>
        <v>2</v>
      </c>
      <c r="B167" s="2">
        <f t="shared" si="43"/>
        <v>164</v>
      </c>
      <c r="C167" s="1">
        <v>43769</v>
      </c>
      <c r="D167" s="2">
        <v>10</v>
      </c>
      <c r="E167" s="3">
        <v>143.996923046391</v>
      </c>
      <c r="F167" s="3">
        <v>236.89629791358499</v>
      </c>
      <c r="G167" s="2">
        <v>2019</v>
      </c>
      <c r="H167" s="15" t="str">
        <f t="shared" ca="1" si="41"/>
        <v>WET</v>
      </c>
      <c r="I167" s="15" t="str">
        <f t="shared" ca="1" si="42"/>
        <v>WET</v>
      </c>
      <c r="O167" s="4"/>
      <c r="S167" s="5"/>
    </row>
    <row r="168" spans="1:19" x14ac:dyDescent="0.25">
      <c r="A168" s="2">
        <f t="shared" si="40"/>
        <v>3</v>
      </c>
      <c r="B168" s="2">
        <f t="shared" si="43"/>
        <v>165</v>
      </c>
      <c r="C168" s="1">
        <v>39021</v>
      </c>
      <c r="D168" s="2">
        <v>10</v>
      </c>
      <c r="E168" s="3">
        <v>142.41003506397999</v>
      </c>
      <c r="F168" s="3">
        <v>234.28563179458999</v>
      </c>
      <c r="G168" s="2">
        <v>2006</v>
      </c>
      <c r="H168" s="15" t="str">
        <f t="shared" ca="1" si="41"/>
        <v>WET</v>
      </c>
      <c r="I168" s="15" t="str">
        <f t="shared" ca="1" si="42"/>
        <v>WET</v>
      </c>
      <c r="O168" s="4"/>
      <c r="S168" s="5"/>
    </row>
    <row r="169" spans="1:19" x14ac:dyDescent="0.25">
      <c r="A169" s="2">
        <f t="shared" si="40"/>
        <v>4</v>
      </c>
      <c r="B169" s="2">
        <f t="shared" si="43"/>
        <v>166</v>
      </c>
      <c r="C169" s="1">
        <v>42308</v>
      </c>
      <c r="D169" s="2">
        <v>10</v>
      </c>
      <c r="E169" s="3">
        <v>117.853892389031</v>
      </c>
      <c r="F169" s="3">
        <v>193.88713460684801</v>
      </c>
      <c r="G169" s="2">
        <v>2015</v>
      </c>
      <c r="H169" s="15" t="str">
        <f t="shared" ca="1" si="41"/>
        <v>WET</v>
      </c>
      <c r="I169" s="15" t="str">
        <f t="shared" ca="1" si="42"/>
        <v>WET</v>
      </c>
      <c r="O169" s="4"/>
      <c r="S169" s="5"/>
    </row>
    <row r="170" spans="1:19" x14ac:dyDescent="0.25">
      <c r="A170" s="2">
        <f t="shared" si="40"/>
        <v>5</v>
      </c>
      <c r="B170" s="2">
        <f t="shared" si="43"/>
        <v>167</v>
      </c>
      <c r="C170" s="1">
        <v>44135</v>
      </c>
      <c r="D170" s="2">
        <v>10</v>
      </c>
      <c r="E170" s="3">
        <v>90.716155287364899</v>
      </c>
      <c r="F170" s="3">
        <v>149.24153165138799</v>
      </c>
      <c r="G170" s="2">
        <v>2020</v>
      </c>
      <c r="H170" s="15" t="str">
        <f t="shared" ca="1" si="41"/>
        <v>WET</v>
      </c>
      <c r="I170" s="15" t="str">
        <f t="shared" ca="1" si="42"/>
        <v>WET</v>
      </c>
      <c r="O170" s="4"/>
      <c r="S170" s="5"/>
    </row>
    <row r="171" spans="1:19" x14ac:dyDescent="0.25">
      <c r="A171" s="2">
        <f t="shared" si="40"/>
        <v>6</v>
      </c>
      <c r="B171" s="2">
        <f t="shared" si="43"/>
        <v>168</v>
      </c>
      <c r="C171" s="1">
        <v>39386</v>
      </c>
      <c r="D171" s="2">
        <v>10</v>
      </c>
      <c r="E171" s="3">
        <v>85.890421773607997</v>
      </c>
      <c r="F171" s="3">
        <v>141.30248420550501</v>
      </c>
      <c r="G171" s="2">
        <v>2007</v>
      </c>
      <c r="H171" s="15" t="str">
        <f t="shared" ca="1" si="41"/>
        <v>WET</v>
      </c>
      <c r="I171" s="15" t="str">
        <f t="shared" ca="1" si="42"/>
        <v>WET</v>
      </c>
      <c r="O171" s="4"/>
      <c r="S171" s="5"/>
    </row>
    <row r="172" spans="1:19" x14ac:dyDescent="0.25">
      <c r="A172" s="2">
        <f t="shared" si="40"/>
        <v>7</v>
      </c>
      <c r="B172" s="2">
        <f t="shared" si="43"/>
        <v>169</v>
      </c>
      <c r="C172" s="1">
        <v>43039</v>
      </c>
      <c r="D172" s="2">
        <v>10</v>
      </c>
      <c r="E172" s="3">
        <v>74.322083035943194</v>
      </c>
      <c r="F172" s="3">
        <v>122.27085101511901</v>
      </c>
      <c r="G172" s="2">
        <v>2017</v>
      </c>
      <c r="H172" s="15" t="str">
        <f t="shared" ca="1" si="41"/>
        <v>AVG</v>
      </c>
      <c r="I172" s="15" t="str">
        <f t="shared" ca="1" si="42"/>
        <v>WET</v>
      </c>
      <c r="O172" s="4"/>
      <c r="S172" s="5"/>
    </row>
    <row r="173" spans="1:19" x14ac:dyDescent="0.25">
      <c r="A173" s="2">
        <f t="shared" si="40"/>
        <v>8</v>
      </c>
      <c r="B173" s="2">
        <f t="shared" si="43"/>
        <v>170</v>
      </c>
      <c r="C173" s="1">
        <v>41578</v>
      </c>
      <c r="D173" s="2">
        <v>10</v>
      </c>
      <c r="E173" s="3">
        <v>64.957998875169693</v>
      </c>
      <c r="F173" s="3">
        <v>106.865543567516</v>
      </c>
      <c r="G173" s="2">
        <v>2013</v>
      </c>
      <c r="H173" s="15" t="str">
        <f t="shared" ca="1" si="41"/>
        <v>AVG</v>
      </c>
      <c r="I173" s="15" t="str">
        <f t="shared" ca="1" si="42"/>
        <v>AVG</v>
      </c>
      <c r="O173" s="4"/>
      <c r="S173" s="5"/>
    </row>
    <row r="174" spans="1:19" x14ac:dyDescent="0.25">
      <c r="A174" s="2">
        <f t="shared" si="40"/>
        <v>9</v>
      </c>
      <c r="B174" s="2">
        <f t="shared" si="43"/>
        <v>171</v>
      </c>
      <c r="C174" s="1">
        <v>43404</v>
      </c>
      <c r="D174" s="2">
        <v>10</v>
      </c>
      <c r="E174" s="3">
        <v>60.199662951844701</v>
      </c>
      <c r="F174" s="3">
        <v>99.037375155183696</v>
      </c>
      <c r="G174" s="2">
        <v>2018</v>
      </c>
      <c r="H174" s="15" t="str">
        <f t="shared" ca="1" si="41"/>
        <v>AVG</v>
      </c>
      <c r="I174" s="15" t="str">
        <f t="shared" ca="1" si="42"/>
        <v>AVG</v>
      </c>
      <c r="O174" s="4"/>
      <c r="S174" s="5"/>
    </row>
    <row r="175" spans="1:19" x14ac:dyDescent="0.25">
      <c r="A175" s="2">
        <f t="shared" si="40"/>
        <v>10</v>
      </c>
      <c r="B175" s="2">
        <f t="shared" si="43"/>
        <v>172</v>
      </c>
      <c r="C175" s="1">
        <v>44500</v>
      </c>
      <c r="D175" s="2">
        <v>10</v>
      </c>
      <c r="E175" s="3">
        <v>51.268633481088003</v>
      </c>
      <c r="F175" s="3">
        <v>84.344506908979994</v>
      </c>
      <c r="G175" s="2">
        <v>2021</v>
      </c>
      <c r="H175" s="15" t="str">
        <f t="shared" ca="1" si="41"/>
        <v>AVG</v>
      </c>
      <c r="I175" s="15" t="str">
        <f t="shared" ca="1" si="42"/>
        <v>AVG</v>
      </c>
      <c r="O175" s="4"/>
      <c r="S175" s="5"/>
    </row>
    <row r="176" spans="1:19" x14ac:dyDescent="0.25">
      <c r="A176" s="2">
        <f t="shared" si="40"/>
        <v>11</v>
      </c>
      <c r="B176" s="2">
        <f t="shared" si="43"/>
        <v>173</v>
      </c>
      <c r="C176" s="1">
        <v>41943</v>
      </c>
      <c r="D176" s="2">
        <v>10</v>
      </c>
      <c r="E176" s="3">
        <v>45.335002419527399</v>
      </c>
      <c r="F176" s="3">
        <v>74.582803659141007</v>
      </c>
      <c r="G176" s="2">
        <v>2014</v>
      </c>
      <c r="H176" s="15" t="str">
        <f t="shared" ca="1" si="41"/>
        <v>DRY</v>
      </c>
      <c r="I176" s="15" t="str">
        <f t="shared" ca="1" si="42"/>
        <v>AVG</v>
      </c>
      <c r="O176" s="4"/>
      <c r="S176" s="5"/>
    </row>
    <row r="177" spans="1:19" x14ac:dyDescent="0.25">
      <c r="A177" s="2">
        <f t="shared" si="40"/>
        <v>12</v>
      </c>
      <c r="B177" s="2">
        <f t="shared" si="43"/>
        <v>174</v>
      </c>
      <c r="C177" s="1">
        <v>39752</v>
      </c>
      <c r="D177" s="2">
        <v>10</v>
      </c>
      <c r="E177" s="3">
        <v>26.220810761607598</v>
      </c>
      <c r="F177" s="3">
        <v>43.137123115584401</v>
      </c>
      <c r="G177" s="2">
        <v>2008</v>
      </c>
      <c r="H177" s="15" t="str">
        <f t="shared" ca="1" si="41"/>
        <v>DRY</v>
      </c>
      <c r="I177" s="15" t="str">
        <f t="shared" ca="1" si="42"/>
        <v>DRY</v>
      </c>
      <c r="O177" s="4"/>
      <c r="S177" s="5"/>
    </row>
    <row r="178" spans="1:19" x14ac:dyDescent="0.25">
      <c r="A178" s="2">
        <f t="shared" si="40"/>
        <v>13</v>
      </c>
      <c r="B178" s="2">
        <f t="shared" si="43"/>
        <v>175</v>
      </c>
      <c r="C178" s="1">
        <v>44865</v>
      </c>
      <c r="D178" s="2">
        <v>10</v>
      </c>
      <c r="E178" s="3">
        <v>25.812828737933302</v>
      </c>
      <c r="F178" s="3">
        <v>42.465932169423802</v>
      </c>
      <c r="G178" s="2">
        <v>2022</v>
      </c>
      <c r="H178" s="15" t="str">
        <f t="shared" ca="1" si="41"/>
        <v>DRY</v>
      </c>
      <c r="I178" s="15" t="str">
        <f t="shared" ca="1" si="42"/>
        <v>DRY</v>
      </c>
      <c r="O178" s="4"/>
      <c r="S178" s="5"/>
    </row>
    <row r="179" spans="1:19" x14ac:dyDescent="0.25">
      <c r="A179" s="2">
        <f t="shared" si="40"/>
        <v>14</v>
      </c>
      <c r="B179" s="2">
        <f t="shared" si="43"/>
        <v>176</v>
      </c>
      <c r="C179" s="1">
        <v>45230</v>
      </c>
      <c r="D179" s="2">
        <v>10</v>
      </c>
      <c r="E179" s="3">
        <v>24.042329932339101</v>
      </c>
      <c r="F179" s="3">
        <v>39.553199010739803</v>
      </c>
      <c r="G179" s="2">
        <v>2023</v>
      </c>
      <c r="H179" s="15" t="str">
        <f t="shared" ca="1" si="41"/>
        <v>DRY</v>
      </c>
      <c r="I179" s="15" t="str">
        <f t="shared" ca="1" si="42"/>
        <v>DRY</v>
      </c>
      <c r="O179" s="4"/>
      <c r="S179" s="5"/>
    </row>
    <row r="180" spans="1:19" x14ac:dyDescent="0.25">
      <c r="A180" s="2">
        <f t="shared" si="40"/>
        <v>15</v>
      </c>
      <c r="B180" s="2">
        <f t="shared" si="43"/>
        <v>177</v>
      </c>
      <c r="C180" s="1">
        <v>40482</v>
      </c>
      <c r="D180" s="2">
        <v>10</v>
      </c>
      <c r="E180" s="3">
        <v>21.611635403230501</v>
      </c>
      <c r="F180" s="3">
        <v>35.554345958031803</v>
      </c>
      <c r="G180" s="2">
        <v>2010</v>
      </c>
      <c r="H180" s="15" t="str">
        <f t="shared" ca="1" si="41"/>
        <v>DRY</v>
      </c>
      <c r="I180" s="15" t="str">
        <f t="shared" ca="1" si="42"/>
        <v>DRY</v>
      </c>
      <c r="O180" s="4"/>
      <c r="S180" s="5"/>
    </row>
    <row r="181" spans="1:19" x14ac:dyDescent="0.25">
      <c r="A181" s="2">
        <f t="shared" si="40"/>
        <v>16</v>
      </c>
      <c r="B181" s="2">
        <f t="shared" si="43"/>
        <v>178</v>
      </c>
      <c r="C181" s="1">
        <v>41213</v>
      </c>
      <c r="D181" s="2">
        <v>10</v>
      </c>
      <c r="E181" s="3">
        <v>11.0028010010664</v>
      </c>
      <c r="F181" s="3">
        <v>18.101239725746002</v>
      </c>
      <c r="G181" s="2">
        <v>2012</v>
      </c>
      <c r="H181" s="15" t="str">
        <f t="shared" ca="1" si="41"/>
        <v>DRY</v>
      </c>
      <c r="I181" s="15" t="str">
        <f t="shared" ca="1" si="42"/>
        <v>DRY</v>
      </c>
      <c r="O181" s="4"/>
      <c r="S181" s="5"/>
    </row>
    <row r="182" spans="1:19" x14ac:dyDescent="0.25">
      <c r="A182" s="2">
        <f t="shared" si="40"/>
        <v>17</v>
      </c>
      <c r="B182" s="2">
        <f t="shared" si="43"/>
        <v>179</v>
      </c>
      <c r="C182" s="1">
        <v>40847</v>
      </c>
      <c r="D182" s="2">
        <v>10</v>
      </c>
      <c r="E182" s="3">
        <v>8.7718088351243502</v>
      </c>
      <c r="F182" s="3">
        <v>14.4309266829067</v>
      </c>
      <c r="G182" s="2">
        <v>2011</v>
      </c>
      <c r="H182" s="15" t="str">
        <f t="shared" ca="1" si="41"/>
        <v>DRY</v>
      </c>
      <c r="I182" s="15" t="str">
        <f t="shared" ca="1" si="42"/>
        <v>DRY</v>
      </c>
      <c r="O182" s="4"/>
      <c r="S182" s="5"/>
    </row>
    <row r="183" spans="1:19" x14ac:dyDescent="0.25">
      <c r="A183" s="2">
        <f t="shared" si="40"/>
        <v>18</v>
      </c>
      <c r="B183" s="2">
        <f t="shared" si="43"/>
        <v>180</v>
      </c>
      <c r="C183" s="1">
        <v>42674</v>
      </c>
      <c r="D183" s="2">
        <v>10</v>
      </c>
      <c r="E183" s="3">
        <v>3.6980708220706302</v>
      </c>
      <c r="F183" s="3">
        <v>6.0838750484170996</v>
      </c>
      <c r="G183" s="2">
        <v>2016</v>
      </c>
      <c r="H183" s="15" t="str">
        <f t="shared" ca="1" si="41"/>
        <v>DRY</v>
      </c>
      <c r="I183" s="15" t="str">
        <f t="shared" ca="1" si="42"/>
        <v>DRY</v>
      </c>
      <c r="O183" s="4"/>
      <c r="S183" s="5"/>
    </row>
    <row r="184" spans="1:19" x14ac:dyDescent="0.25">
      <c r="A184" s="2">
        <f t="shared" si="40"/>
        <v>1</v>
      </c>
      <c r="B184" s="2">
        <f t="shared" si="43"/>
        <v>181</v>
      </c>
      <c r="C184" s="1">
        <v>44895</v>
      </c>
      <c r="D184" s="2">
        <v>11</v>
      </c>
      <c r="E184" s="3">
        <v>108.864436377855</v>
      </c>
      <c r="F184" s="3">
        <v>179.09814603506601</v>
      </c>
      <c r="G184" s="2">
        <v>2022</v>
      </c>
      <c r="H184" s="15" t="str">
        <f t="shared" ca="1" si="41"/>
        <v>WET</v>
      </c>
      <c r="I184" s="15" t="str">
        <f t="shared" ca="1" si="42"/>
        <v>WET</v>
      </c>
      <c r="O184" s="4"/>
      <c r="S184" s="5"/>
    </row>
    <row r="185" spans="1:19" x14ac:dyDescent="0.25">
      <c r="A185" s="2">
        <f t="shared" si="40"/>
        <v>2</v>
      </c>
      <c r="B185" s="2">
        <f t="shared" si="43"/>
        <v>182</v>
      </c>
      <c r="C185" s="1">
        <v>43434</v>
      </c>
      <c r="D185" s="2">
        <v>11</v>
      </c>
      <c r="E185" s="3">
        <v>103.94951013324101</v>
      </c>
      <c r="F185" s="3">
        <v>171.01236331669401</v>
      </c>
      <c r="G185" s="2">
        <v>2018</v>
      </c>
      <c r="H185" s="15" t="str">
        <f t="shared" ca="1" si="41"/>
        <v>WET</v>
      </c>
      <c r="I185" s="15" t="str">
        <f t="shared" ca="1" si="42"/>
        <v>WET</v>
      </c>
      <c r="O185" s="4"/>
      <c r="S185" s="5"/>
    </row>
    <row r="186" spans="1:19" x14ac:dyDescent="0.25">
      <c r="A186" s="2">
        <f t="shared" si="40"/>
        <v>3</v>
      </c>
      <c r="B186" s="2">
        <f t="shared" si="43"/>
        <v>183</v>
      </c>
      <c r="C186" s="1">
        <v>42338</v>
      </c>
      <c r="D186" s="2">
        <v>11</v>
      </c>
      <c r="E186" s="3">
        <v>94.427934205597595</v>
      </c>
      <c r="F186" s="3">
        <v>155.34795855135599</v>
      </c>
      <c r="G186" s="2">
        <v>2015</v>
      </c>
      <c r="H186" s="15" t="str">
        <f t="shared" ca="1" si="41"/>
        <v>WET</v>
      </c>
      <c r="I186" s="15" t="str">
        <f t="shared" ca="1" si="42"/>
        <v>WET</v>
      </c>
      <c r="O186" s="4"/>
      <c r="S186" s="5"/>
    </row>
    <row r="187" spans="1:19" x14ac:dyDescent="0.25">
      <c r="A187" s="2">
        <f t="shared" si="40"/>
        <v>4</v>
      </c>
      <c r="B187" s="2">
        <f t="shared" si="43"/>
        <v>184</v>
      </c>
      <c r="C187" s="1">
        <v>40512</v>
      </c>
      <c r="D187" s="2">
        <v>11</v>
      </c>
      <c r="E187" s="3">
        <v>78.352361358216598</v>
      </c>
      <c r="F187" s="3">
        <v>128.90125667872101</v>
      </c>
      <c r="G187" s="2">
        <v>2010</v>
      </c>
      <c r="H187" s="15" t="str">
        <f t="shared" ca="1" si="41"/>
        <v>WET</v>
      </c>
      <c r="I187" s="15" t="str">
        <f t="shared" ca="1" si="42"/>
        <v>WET</v>
      </c>
      <c r="O187" s="4"/>
      <c r="S187" s="5"/>
    </row>
    <row r="188" spans="1:19" x14ac:dyDescent="0.25">
      <c r="A188" s="2">
        <f t="shared" si="40"/>
        <v>5</v>
      </c>
      <c r="B188" s="2">
        <f t="shared" si="43"/>
        <v>185</v>
      </c>
      <c r="C188" s="1">
        <v>39416</v>
      </c>
      <c r="D188" s="2">
        <v>11</v>
      </c>
      <c r="E188" s="3">
        <v>53.517363894785099</v>
      </c>
      <c r="F188" s="3">
        <v>88.044002000544495</v>
      </c>
      <c r="G188" s="2">
        <v>2007</v>
      </c>
      <c r="H188" s="15" t="str">
        <f t="shared" ca="1" si="41"/>
        <v>AVG</v>
      </c>
      <c r="I188" s="15" t="str">
        <f t="shared" ca="1" si="42"/>
        <v>WET</v>
      </c>
      <c r="O188" s="4"/>
      <c r="S188" s="5"/>
    </row>
    <row r="189" spans="1:19" x14ac:dyDescent="0.25">
      <c r="A189" s="2">
        <f t="shared" si="40"/>
        <v>6</v>
      </c>
      <c r="B189" s="2">
        <f t="shared" si="43"/>
        <v>186</v>
      </c>
      <c r="C189" s="1">
        <v>44165</v>
      </c>
      <c r="D189" s="2">
        <v>11</v>
      </c>
      <c r="E189" s="3">
        <v>52.816287652892299</v>
      </c>
      <c r="F189" s="3">
        <v>86.890627589856095</v>
      </c>
      <c r="G189" s="2">
        <v>2020</v>
      </c>
      <c r="H189" s="15" t="str">
        <f t="shared" ca="1" si="41"/>
        <v>AVG</v>
      </c>
      <c r="I189" s="15" t="str">
        <f t="shared" ca="1" si="42"/>
        <v>WET</v>
      </c>
      <c r="O189" s="4"/>
      <c r="S189" s="5"/>
    </row>
    <row r="190" spans="1:19" x14ac:dyDescent="0.25">
      <c r="A190" s="2">
        <f t="shared" si="40"/>
        <v>7</v>
      </c>
      <c r="B190" s="2">
        <f t="shared" si="43"/>
        <v>187</v>
      </c>
      <c r="C190" s="1">
        <v>39051</v>
      </c>
      <c r="D190" s="2">
        <v>11</v>
      </c>
      <c r="E190" s="3">
        <v>51.1591423350159</v>
      </c>
      <c r="F190" s="3">
        <v>84.164377732536096</v>
      </c>
      <c r="G190" s="2">
        <v>2006</v>
      </c>
      <c r="H190" s="15" t="str">
        <f t="shared" ca="1" si="41"/>
        <v>AVG</v>
      </c>
      <c r="I190" s="15" t="str">
        <f t="shared" ca="1" si="42"/>
        <v>AVG</v>
      </c>
      <c r="O190" s="4"/>
      <c r="S190" s="5"/>
    </row>
    <row r="191" spans="1:19" x14ac:dyDescent="0.25">
      <c r="A191" s="2">
        <f t="shared" si="40"/>
        <v>8</v>
      </c>
      <c r="B191" s="2">
        <f t="shared" si="43"/>
        <v>188</v>
      </c>
      <c r="C191" s="1">
        <v>41608</v>
      </c>
      <c r="D191" s="2">
        <v>11</v>
      </c>
      <c r="E191" s="3">
        <v>47.814100235796801</v>
      </c>
      <c r="F191" s="3">
        <v>78.661287299035706</v>
      </c>
      <c r="G191" s="2">
        <v>2013</v>
      </c>
      <c r="H191" s="15" t="str">
        <f t="shared" ca="1" si="41"/>
        <v>AVG</v>
      </c>
      <c r="I191" s="15" t="str">
        <f t="shared" ca="1" si="42"/>
        <v>AVG</v>
      </c>
      <c r="O191" s="4"/>
      <c r="S191" s="5"/>
    </row>
    <row r="192" spans="1:19" x14ac:dyDescent="0.25">
      <c r="A192" s="2">
        <f t="shared" si="40"/>
        <v>9</v>
      </c>
      <c r="B192" s="2">
        <f t="shared" si="43"/>
        <v>189</v>
      </c>
      <c r="C192" s="1">
        <v>41973</v>
      </c>
      <c r="D192" s="2">
        <v>11</v>
      </c>
      <c r="E192" s="3">
        <v>43.0870354829568</v>
      </c>
      <c r="F192" s="3">
        <v>70.884564600698397</v>
      </c>
      <c r="G192" s="2">
        <v>2014</v>
      </c>
      <c r="H192" s="15" t="str">
        <f t="shared" ca="1" si="41"/>
        <v>AVG</v>
      </c>
      <c r="I192" s="15" t="str">
        <f t="shared" ca="1" si="42"/>
        <v>AVG</v>
      </c>
      <c r="O192" s="4"/>
      <c r="S192" s="5"/>
    </row>
    <row r="193" spans="1:19" x14ac:dyDescent="0.25">
      <c r="A193" s="2">
        <f t="shared" si="40"/>
        <v>10</v>
      </c>
      <c r="B193" s="2">
        <f t="shared" si="43"/>
        <v>190</v>
      </c>
      <c r="C193" s="1">
        <v>39782</v>
      </c>
      <c r="D193" s="2">
        <v>11</v>
      </c>
      <c r="E193" s="3">
        <v>42.624251691229503</v>
      </c>
      <c r="F193" s="3">
        <v>70.123216617177405</v>
      </c>
      <c r="G193" s="2">
        <v>2008</v>
      </c>
      <c r="H193" s="15" t="str">
        <f t="shared" ca="1" si="41"/>
        <v>AVG</v>
      </c>
      <c r="I193" s="15" t="str">
        <f t="shared" ca="1" si="42"/>
        <v>AVG</v>
      </c>
      <c r="O193" s="4"/>
      <c r="S193" s="5"/>
    </row>
    <row r="194" spans="1:19" x14ac:dyDescent="0.25">
      <c r="A194" s="2">
        <f t="shared" si="40"/>
        <v>11</v>
      </c>
      <c r="B194" s="2">
        <f t="shared" si="43"/>
        <v>191</v>
      </c>
      <c r="C194" s="1">
        <v>45260</v>
      </c>
      <c r="D194" s="2">
        <v>11</v>
      </c>
      <c r="E194" s="3">
        <v>41.671893424121997</v>
      </c>
      <c r="F194" s="3">
        <v>68.556446001582501</v>
      </c>
      <c r="G194" s="2">
        <v>2023</v>
      </c>
      <c r="H194" s="15" t="str">
        <f t="shared" ca="1" si="41"/>
        <v>DRY</v>
      </c>
      <c r="I194" s="15" t="str">
        <f t="shared" ca="1" si="42"/>
        <v>AVG</v>
      </c>
      <c r="O194" s="4"/>
      <c r="S194" s="5"/>
    </row>
    <row r="195" spans="1:19" x14ac:dyDescent="0.25">
      <c r="A195" s="2">
        <f t="shared" si="40"/>
        <v>12</v>
      </c>
      <c r="B195" s="2">
        <f t="shared" si="43"/>
        <v>192</v>
      </c>
      <c r="C195" s="1">
        <v>40877</v>
      </c>
      <c r="D195" s="2">
        <v>11</v>
      </c>
      <c r="E195" s="3">
        <v>41.059145672480803</v>
      </c>
      <c r="F195" s="3">
        <v>67.548385059392004</v>
      </c>
      <c r="G195" s="2">
        <v>2011</v>
      </c>
      <c r="H195" s="15" t="str">
        <f t="shared" ca="1" si="41"/>
        <v>DRY</v>
      </c>
      <c r="I195" s="15" t="str">
        <f t="shared" ca="1" si="42"/>
        <v>AVG</v>
      </c>
      <c r="O195" s="4"/>
      <c r="S195" s="5"/>
    </row>
    <row r="196" spans="1:19" x14ac:dyDescent="0.25">
      <c r="A196" s="2">
        <f t="shared" ref="A196:A219" si="44">IF(D196=D195,A195+1,1)</f>
        <v>13</v>
      </c>
      <c r="B196" s="2">
        <f t="shared" si="43"/>
        <v>193</v>
      </c>
      <c r="C196" s="1">
        <v>42704</v>
      </c>
      <c r="D196" s="2">
        <v>11</v>
      </c>
      <c r="E196" s="3">
        <v>36.978696826652303</v>
      </c>
      <c r="F196" s="3">
        <v>60.8354414425961</v>
      </c>
      <c r="G196" s="2">
        <v>2016</v>
      </c>
      <c r="H196" s="15" t="str">
        <f t="shared" ca="1" si="41"/>
        <v>DRY</v>
      </c>
      <c r="I196" s="15" t="str">
        <f t="shared" ca="1" si="42"/>
        <v>AVG</v>
      </c>
      <c r="O196" s="4"/>
      <c r="S196" s="5"/>
    </row>
    <row r="197" spans="1:19" x14ac:dyDescent="0.25">
      <c r="A197" s="2">
        <f t="shared" si="44"/>
        <v>14</v>
      </c>
      <c r="B197" s="2">
        <f t="shared" si="43"/>
        <v>194</v>
      </c>
      <c r="C197" s="1">
        <v>40147</v>
      </c>
      <c r="D197" s="2">
        <v>11</v>
      </c>
      <c r="E197" s="3">
        <v>35.9579519368151</v>
      </c>
      <c r="F197" s="3">
        <v>59.156164688614702</v>
      </c>
      <c r="G197" s="2">
        <v>2009</v>
      </c>
      <c r="H197" s="15" t="str">
        <f t="shared" ref="H197:H219" ca="1" si="45">IF(F197&lt;VLOOKUP($D197,$T$4:$AS$15,23,FALSE),"DRY",IF(F197&gt;VLOOKUP($D197,$T$4:$AS$15,24,FALSE),"WET","AVG"))</f>
        <v>DRY</v>
      </c>
      <c r="I197" s="15" t="str">
        <f t="shared" ref="I197:I219" ca="1" si="46">IF(F197&lt;VLOOKUP($D197,$T$4:$AS$15,25,FALSE),"DRY",IF(F197&gt;VLOOKUP($D197,$T$4:$AS$15,26,FALSE),"WET","AVG"))</f>
        <v>AVG</v>
      </c>
      <c r="O197" s="4"/>
      <c r="S197" s="5"/>
    </row>
    <row r="198" spans="1:19" x14ac:dyDescent="0.25">
      <c r="A198" s="2">
        <f t="shared" si="44"/>
        <v>15</v>
      </c>
      <c r="B198" s="2">
        <f t="shared" ref="B198:B219" si="47">B197+1</f>
        <v>195</v>
      </c>
      <c r="C198" s="1">
        <v>43069</v>
      </c>
      <c r="D198" s="2">
        <v>11</v>
      </c>
      <c r="E198" s="3">
        <v>22.863375529622299</v>
      </c>
      <c r="F198" s="3">
        <v>37.6136441403725</v>
      </c>
      <c r="G198" s="2">
        <v>2017</v>
      </c>
      <c r="H198" s="15" t="str">
        <f t="shared" ca="1" si="45"/>
        <v>DRY</v>
      </c>
      <c r="I198" s="15" t="str">
        <f t="shared" ca="1" si="46"/>
        <v>DRY</v>
      </c>
      <c r="O198" s="4"/>
      <c r="S198" s="5"/>
    </row>
    <row r="199" spans="1:19" x14ac:dyDescent="0.25">
      <c r="A199" s="2">
        <f t="shared" si="44"/>
        <v>16</v>
      </c>
      <c r="B199" s="2">
        <f t="shared" si="47"/>
        <v>196</v>
      </c>
      <c r="C199" s="1">
        <v>43799</v>
      </c>
      <c r="D199" s="2">
        <v>11</v>
      </c>
      <c r="E199" s="3">
        <v>22.3870374998138</v>
      </c>
      <c r="F199" s="3">
        <v>36.829997424666402</v>
      </c>
      <c r="G199" s="2">
        <v>2019</v>
      </c>
      <c r="H199" s="15" t="str">
        <f t="shared" ca="1" si="45"/>
        <v>DRY</v>
      </c>
      <c r="I199" s="15" t="str">
        <f t="shared" ca="1" si="46"/>
        <v>DRY</v>
      </c>
      <c r="O199" s="4"/>
      <c r="S199" s="5"/>
    </row>
    <row r="200" spans="1:19" x14ac:dyDescent="0.25">
      <c r="A200" s="2">
        <f t="shared" si="44"/>
        <v>17</v>
      </c>
      <c r="B200" s="2">
        <f t="shared" si="47"/>
        <v>197</v>
      </c>
      <c r="C200" s="1">
        <v>41243</v>
      </c>
      <c r="D200" s="2">
        <v>11</v>
      </c>
      <c r="E200" s="3">
        <v>21.853122055668202</v>
      </c>
      <c r="F200" s="3">
        <v>35.951627321742599</v>
      </c>
      <c r="G200" s="2">
        <v>2012</v>
      </c>
      <c r="H200" s="15" t="str">
        <f t="shared" ca="1" si="45"/>
        <v>DRY</v>
      </c>
      <c r="I200" s="15" t="str">
        <f t="shared" ca="1" si="46"/>
        <v>DRY</v>
      </c>
      <c r="O200" s="4"/>
      <c r="S200" s="5"/>
    </row>
    <row r="201" spans="1:19" x14ac:dyDescent="0.25">
      <c r="A201" s="2">
        <f t="shared" si="44"/>
        <v>18</v>
      </c>
      <c r="B201" s="2">
        <f t="shared" si="47"/>
        <v>198</v>
      </c>
      <c r="C201" s="1">
        <v>44530</v>
      </c>
      <c r="D201" s="2">
        <v>11</v>
      </c>
      <c r="E201" s="3">
        <v>16.522792944732199</v>
      </c>
      <c r="F201" s="3">
        <v>27.1824452702974</v>
      </c>
      <c r="G201" s="2">
        <v>2021</v>
      </c>
      <c r="H201" s="15" t="str">
        <f t="shared" ca="1" si="45"/>
        <v>DRY</v>
      </c>
      <c r="I201" s="15" t="str">
        <f t="shared" ca="1" si="46"/>
        <v>DRY</v>
      </c>
      <c r="O201" s="4"/>
      <c r="S201" s="5"/>
    </row>
    <row r="202" spans="1:19" x14ac:dyDescent="0.25">
      <c r="A202" s="2">
        <f t="shared" si="44"/>
        <v>1</v>
      </c>
      <c r="B202" s="2">
        <f t="shared" si="47"/>
        <v>199</v>
      </c>
      <c r="C202" s="1">
        <v>40178</v>
      </c>
      <c r="D202" s="2">
        <v>12</v>
      </c>
      <c r="E202" s="3">
        <v>186.62123287039699</v>
      </c>
      <c r="F202" s="3">
        <v>307.019610167802</v>
      </c>
      <c r="G202" s="2">
        <v>2009</v>
      </c>
      <c r="H202" s="15" t="str">
        <f t="shared" ca="1" si="45"/>
        <v>WET</v>
      </c>
      <c r="I202" s="15" t="str">
        <f t="shared" ca="1" si="46"/>
        <v>WET</v>
      </c>
      <c r="O202" s="4"/>
      <c r="S202" s="5"/>
    </row>
    <row r="203" spans="1:19" x14ac:dyDescent="0.25">
      <c r="A203" s="2">
        <f t="shared" si="44"/>
        <v>2</v>
      </c>
      <c r="B203" s="2">
        <f t="shared" si="47"/>
        <v>200</v>
      </c>
      <c r="C203" s="1">
        <v>43465</v>
      </c>
      <c r="D203" s="2">
        <v>12</v>
      </c>
      <c r="E203" s="3">
        <v>129.78182769059401</v>
      </c>
      <c r="F203" s="3">
        <v>213.5103574849</v>
      </c>
      <c r="G203" s="2">
        <v>2018</v>
      </c>
      <c r="H203" s="15" t="str">
        <f t="shared" ca="1" si="45"/>
        <v>WET</v>
      </c>
      <c r="I203" s="15" t="str">
        <f t="shared" ca="1" si="46"/>
        <v>WET</v>
      </c>
      <c r="O203" s="4"/>
      <c r="S203" s="5"/>
    </row>
    <row r="204" spans="1:19" x14ac:dyDescent="0.25">
      <c r="A204" s="54">
        <f t="shared" si="44"/>
        <v>3</v>
      </c>
      <c r="B204" s="2">
        <f t="shared" si="47"/>
        <v>201</v>
      </c>
      <c r="C204" s="1">
        <v>39082</v>
      </c>
      <c r="D204" s="2">
        <v>12</v>
      </c>
      <c r="E204" s="3">
        <v>111.26443060034001</v>
      </c>
      <c r="F204" s="3">
        <v>183.04649252950901</v>
      </c>
      <c r="G204" s="2">
        <v>2006</v>
      </c>
      <c r="H204" s="15" t="str">
        <f t="shared" ca="1" si="45"/>
        <v>WET</v>
      </c>
      <c r="I204" s="15" t="str">
        <f t="shared" ca="1" si="46"/>
        <v>WET</v>
      </c>
      <c r="O204" s="4"/>
      <c r="S204" s="5"/>
    </row>
    <row r="205" spans="1:19" x14ac:dyDescent="0.25">
      <c r="A205" s="2">
        <f t="shared" si="44"/>
        <v>4</v>
      </c>
      <c r="B205" s="2">
        <f t="shared" si="47"/>
        <v>202</v>
      </c>
      <c r="C205" s="1">
        <v>42735</v>
      </c>
      <c r="D205" s="2">
        <v>12</v>
      </c>
      <c r="E205" s="3">
        <v>104.910375938359</v>
      </c>
      <c r="F205" s="3">
        <v>172.59313009426401</v>
      </c>
      <c r="G205" s="2">
        <v>2016</v>
      </c>
      <c r="H205" s="15" t="str">
        <f t="shared" ca="1" si="45"/>
        <v>WET</v>
      </c>
      <c r="I205" s="15" t="str">
        <f t="shared" ca="1" si="46"/>
        <v>WET</v>
      </c>
      <c r="O205" s="4"/>
      <c r="S205" s="5"/>
    </row>
    <row r="206" spans="1:19" x14ac:dyDescent="0.25">
      <c r="A206" s="2">
        <f t="shared" si="44"/>
        <v>5</v>
      </c>
      <c r="B206" s="2">
        <f t="shared" si="47"/>
        <v>203</v>
      </c>
      <c r="C206" s="1">
        <v>44926</v>
      </c>
      <c r="D206" s="2">
        <v>12</v>
      </c>
      <c r="E206" s="3">
        <v>97.195897661950198</v>
      </c>
      <c r="F206" s="3">
        <v>159.901669017508</v>
      </c>
      <c r="G206" s="2">
        <v>2022</v>
      </c>
      <c r="H206" s="15" t="str">
        <f t="shared" ca="1" si="45"/>
        <v>WET</v>
      </c>
      <c r="I206" s="15" t="str">
        <f t="shared" ca="1" si="46"/>
        <v>WET</v>
      </c>
      <c r="O206" s="4"/>
      <c r="S206" s="5"/>
    </row>
    <row r="207" spans="1:19" x14ac:dyDescent="0.25">
      <c r="A207" s="2">
        <f t="shared" si="44"/>
        <v>6</v>
      </c>
      <c r="B207" s="2">
        <f t="shared" si="47"/>
        <v>204</v>
      </c>
      <c r="C207" s="1">
        <v>42369</v>
      </c>
      <c r="D207" s="2">
        <v>12</v>
      </c>
      <c r="E207" s="3">
        <v>94.686101864368496</v>
      </c>
      <c r="F207" s="3">
        <v>155.77268264482899</v>
      </c>
      <c r="G207" s="2">
        <v>2015</v>
      </c>
      <c r="H207" s="15" t="str">
        <f t="shared" ca="1" si="45"/>
        <v>WET</v>
      </c>
      <c r="I207" s="15" t="str">
        <f t="shared" ca="1" si="46"/>
        <v>WET</v>
      </c>
      <c r="O207" s="4"/>
      <c r="S207" s="5"/>
    </row>
    <row r="208" spans="1:19" x14ac:dyDescent="0.25">
      <c r="A208" s="2">
        <f t="shared" si="44"/>
        <v>7</v>
      </c>
      <c r="B208" s="2">
        <f t="shared" si="47"/>
        <v>205</v>
      </c>
      <c r="C208" s="1">
        <v>45291</v>
      </c>
      <c r="D208" s="2">
        <v>12</v>
      </c>
      <c r="E208" s="3">
        <v>89.2752348302852</v>
      </c>
      <c r="F208" s="3">
        <v>146.87100376337099</v>
      </c>
      <c r="G208" s="2">
        <v>2023</v>
      </c>
      <c r="H208" s="15" t="str">
        <f t="shared" ca="1" si="45"/>
        <v>AVG</v>
      </c>
      <c r="I208" s="15" t="str">
        <f t="shared" ca="1" si="46"/>
        <v>WET</v>
      </c>
      <c r="O208" s="4"/>
      <c r="S208" s="5"/>
    </row>
    <row r="209" spans="1:19" x14ac:dyDescent="0.25">
      <c r="A209" s="2">
        <f t="shared" si="44"/>
        <v>8</v>
      </c>
      <c r="B209" s="2">
        <f t="shared" si="47"/>
        <v>206</v>
      </c>
      <c r="C209" s="1">
        <v>41274</v>
      </c>
      <c r="D209" s="2">
        <v>12</v>
      </c>
      <c r="E209" s="3">
        <v>74.378190853699806</v>
      </c>
      <c r="F209" s="3">
        <v>122.363156697972</v>
      </c>
      <c r="G209" s="2">
        <v>2012</v>
      </c>
      <c r="H209" s="15" t="str">
        <f t="shared" ca="1" si="45"/>
        <v>AVG</v>
      </c>
      <c r="I209" s="15" t="str">
        <f t="shared" ca="1" si="46"/>
        <v>AVG</v>
      </c>
      <c r="O209" s="4"/>
      <c r="S209" s="5"/>
    </row>
    <row r="210" spans="1:19" x14ac:dyDescent="0.25">
      <c r="A210" s="2">
        <f t="shared" si="44"/>
        <v>9</v>
      </c>
      <c r="B210" s="2">
        <f t="shared" si="47"/>
        <v>207</v>
      </c>
      <c r="C210" s="1">
        <v>43100</v>
      </c>
      <c r="D210" s="2">
        <v>12</v>
      </c>
      <c r="E210" s="3">
        <v>71.406303044426593</v>
      </c>
      <c r="F210" s="3">
        <v>117.473960422546</v>
      </c>
      <c r="G210" s="2">
        <v>2017</v>
      </c>
      <c r="H210" s="15" t="str">
        <f t="shared" ca="1" si="45"/>
        <v>AVG</v>
      </c>
      <c r="I210" s="15" t="str">
        <f t="shared" ca="1" si="46"/>
        <v>AVG</v>
      </c>
      <c r="O210" s="4"/>
      <c r="S210" s="5"/>
    </row>
    <row r="211" spans="1:19" x14ac:dyDescent="0.25">
      <c r="A211" s="2">
        <f t="shared" si="44"/>
        <v>10</v>
      </c>
      <c r="B211" s="2">
        <f t="shared" si="47"/>
        <v>208</v>
      </c>
      <c r="C211" s="1">
        <v>42004</v>
      </c>
      <c r="D211" s="2">
        <v>12</v>
      </c>
      <c r="E211" s="3">
        <v>70.684355585697602</v>
      </c>
      <c r="F211" s="3">
        <v>116.28624976427101</v>
      </c>
      <c r="G211" s="2">
        <v>2014</v>
      </c>
      <c r="H211" s="15" t="str">
        <f t="shared" ca="1" si="45"/>
        <v>AVG</v>
      </c>
      <c r="I211" s="15" t="str">
        <f t="shared" ca="1" si="46"/>
        <v>AVG</v>
      </c>
      <c r="O211" s="4"/>
      <c r="S211" s="5"/>
    </row>
    <row r="212" spans="1:19" x14ac:dyDescent="0.25">
      <c r="A212" s="2">
        <f t="shared" si="44"/>
        <v>11</v>
      </c>
      <c r="B212" s="2">
        <f t="shared" si="47"/>
        <v>209</v>
      </c>
      <c r="C212" s="1">
        <v>44196</v>
      </c>
      <c r="D212" s="2">
        <v>12</v>
      </c>
      <c r="E212" s="3">
        <v>66.056848250145507</v>
      </c>
      <c r="F212" s="3">
        <v>108.67331378502701</v>
      </c>
      <c r="G212" s="2">
        <v>2020</v>
      </c>
      <c r="H212" s="15" t="str">
        <f t="shared" ca="1" si="45"/>
        <v>DRY</v>
      </c>
      <c r="I212" s="15" t="str">
        <f t="shared" ca="1" si="46"/>
        <v>AVG</v>
      </c>
      <c r="O212" s="4"/>
      <c r="S212" s="5"/>
    </row>
    <row r="213" spans="1:19" x14ac:dyDescent="0.25">
      <c r="A213" s="2">
        <f t="shared" si="44"/>
        <v>12</v>
      </c>
      <c r="B213" s="2">
        <f t="shared" si="47"/>
        <v>210</v>
      </c>
      <c r="C213" s="1">
        <v>39447</v>
      </c>
      <c r="D213" s="2">
        <v>12</v>
      </c>
      <c r="E213" s="3">
        <v>60.0318619184563</v>
      </c>
      <c r="F213" s="3">
        <v>98.761317564821496</v>
      </c>
      <c r="G213" s="2">
        <v>2007</v>
      </c>
      <c r="H213" s="15" t="str">
        <f t="shared" ca="1" si="45"/>
        <v>DRY</v>
      </c>
      <c r="I213" s="15" t="str">
        <f t="shared" ca="1" si="46"/>
        <v>AVG</v>
      </c>
      <c r="O213" s="4"/>
      <c r="S213" s="5"/>
    </row>
    <row r="214" spans="1:19" x14ac:dyDescent="0.25">
      <c r="A214" s="2">
        <f t="shared" si="44"/>
        <v>13</v>
      </c>
      <c r="B214" s="2">
        <f t="shared" si="47"/>
        <v>211</v>
      </c>
      <c r="C214" s="1">
        <v>39813</v>
      </c>
      <c r="D214" s="2">
        <v>12</v>
      </c>
      <c r="E214" s="3">
        <v>59.729047900069702</v>
      </c>
      <c r="F214" s="3">
        <v>98.263143587249601</v>
      </c>
      <c r="G214" s="2">
        <v>2008</v>
      </c>
      <c r="H214" s="15" t="str">
        <f t="shared" ca="1" si="45"/>
        <v>DRY</v>
      </c>
      <c r="I214" s="15" t="str">
        <f t="shared" ca="1" si="46"/>
        <v>DRY</v>
      </c>
      <c r="O214" s="4"/>
      <c r="S214" s="5"/>
    </row>
    <row r="215" spans="1:19" x14ac:dyDescent="0.25">
      <c r="A215" s="2">
        <f t="shared" si="44"/>
        <v>14</v>
      </c>
      <c r="B215" s="2">
        <f t="shared" si="47"/>
        <v>212</v>
      </c>
      <c r="C215" s="1">
        <v>41639</v>
      </c>
      <c r="D215" s="2">
        <v>12</v>
      </c>
      <c r="E215" s="3">
        <v>56.454302666603702</v>
      </c>
      <c r="F215" s="3">
        <v>92.875701925261396</v>
      </c>
      <c r="G215" s="2">
        <v>2013</v>
      </c>
      <c r="H215" s="15" t="str">
        <f t="shared" ca="1" si="45"/>
        <v>DRY</v>
      </c>
      <c r="I215" s="15" t="str">
        <f t="shared" ca="1" si="46"/>
        <v>DRY</v>
      </c>
      <c r="O215" s="4"/>
      <c r="S215" s="5"/>
    </row>
    <row r="216" spans="1:19" x14ac:dyDescent="0.25">
      <c r="A216" s="2">
        <f t="shared" si="44"/>
        <v>15</v>
      </c>
      <c r="B216" s="2">
        <f t="shared" si="47"/>
        <v>213</v>
      </c>
      <c r="C216" s="1">
        <v>40908</v>
      </c>
      <c r="D216" s="2">
        <v>12</v>
      </c>
      <c r="E216" s="3">
        <v>43.843664568370102</v>
      </c>
      <c r="F216" s="3">
        <v>72.129331679300606</v>
      </c>
      <c r="G216" s="2">
        <v>2011</v>
      </c>
      <c r="H216" s="15" t="str">
        <f t="shared" ca="1" si="45"/>
        <v>DRY</v>
      </c>
      <c r="I216" s="15" t="str">
        <f t="shared" ca="1" si="46"/>
        <v>DRY</v>
      </c>
      <c r="O216" s="4"/>
      <c r="S216" s="5"/>
    </row>
    <row r="217" spans="1:19" x14ac:dyDescent="0.25">
      <c r="A217" s="2">
        <f t="shared" si="44"/>
        <v>16</v>
      </c>
      <c r="B217" s="2">
        <f t="shared" si="47"/>
        <v>214</v>
      </c>
      <c r="C217" s="1">
        <v>43830</v>
      </c>
      <c r="D217" s="2">
        <v>12</v>
      </c>
      <c r="E217" s="3">
        <v>40.872061609699998</v>
      </c>
      <c r="F217" s="3">
        <v>67.240604025368597</v>
      </c>
      <c r="G217" s="2">
        <v>2019</v>
      </c>
      <c r="H217" s="15" t="str">
        <f t="shared" ca="1" si="45"/>
        <v>DRY</v>
      </c>
      <c r="I217" s="15" t="str">
        <f t="shared" ca="1" si="46"/>
        <v>DRY</v>
      </c>
      <c r="O217" s="4"/>
      <c r="S217" s="5"/>
    </row>
    <row r="218" spans="1:19" x14ac:dyDescent="0.25">
      <c r="A218" s="2">
        <f t="shared" si="44"/>
        <v>17</v>
      </c>
      <c r="B218" s="2">
        <f t="shared" si="47"/>
        <v>215</v>
      </c>
      <c r="C218" s="1">
        <v>44561</v>
      </c>
      <c r="D218" s="2">
        <v>12</v>
      </c>
      <c r="E218" s="3">
        <v>39.745439494706297</v>
      </c>
      <c r="F218" s="3">
        <v>65.387143530913605</v>
      </c>
      <c r="G218" s="2">
        <v>2021</v>
      </c>
      <c r="H218" s="15" t="str">
        <f t="shared" ca="1" si="45"/>
        <v>DRY</v>
      </c>
      <c r="I218" s="15" t="str">
        <f t="shared" ca="1" si="46"/>
        <v>DRY</v>
      </c>
      <c r="O218" s="4"/>
      <c r="S218" s="5"/>
    </row>
    <row r="219" spans="1:19" x14ac:dyDescent="0.25">
      <c r="A219" s="2">
        <f t="shared" si="44"/>
        <v>18</v>
      </c>
      <c r="B219" s="2">
        <f t="shared" si="47"/>
        <v>216</v>
      </c>
      <c r="C219" s="1">
        <v>40543</v>
      </c>
      <c r="D219" s="2">
        <v>12</v>
      </c>
      <c r="E219" s="3">
        <v>39.362651053549101</v>
      </c>
      <c r="F219" s="3">
        <v>64.757399765034293</v>
      </c>
      <c r="G219" s="2">
        <v>2010</v>
      </c>
      <c r="H219" s="15" t="str">
        <f t="shared" ca="1" si="45"/>
        <v>DRY</v>
      </c>
      <c r="I219" s="15" t="str">
        <f t="shared" ca="1" si="46"/>
        <v>DRY</v>
      </c>
      <c r="O219" s="4"/>
      <c r="S219" s="5"/>
    </row>
    <row r="220" spans="1:19" x14ac:dyDescent="0.25">
      <c r="C220" s="4"/>
      <c r="E220" s="5"/>
      <c r="F220" s="5"/>
      <c r="H220" s="47"/>
      <c r="I220" s="47"/>
      <c r="O220" s="4"/>
      <c r="S220" s="5"/>
    </row>
    <row r="221" spans="1:19" x14ac:dyDescent="0.25">
      <c r="C221" s="4"/>
      <c r="E221" s="5"/>
      <c r="F221" s="5"/>
      <c r="H221" s="47"/>
      <c r="I221" s="47"/>
      <c r="O221" s="4"/>
      <c r="S221" s="5"/>
    </row>
    <row r="222" spans="1:19" x14ac:dyDescent="0.25">
      <c r="C222" s="4"/>
      <c r="E222" s="5"/>
      <c r="F222" s="5"/>
      <c r="H222" s="47"/>
      <c r="I222" s="47"/>
      <c r="O222" s="4"/>
      <c r="S222" s="5"/>
    </row>
    <row r="223" spans="1:19" x14ac:dyDescent="0.25">
      <c r="C223" s="4"/>
      <c r="E223" s="5"/>
      <c r="F223" s="5"/>
      <c r="H223" s="47"/>
      <c r="I223" s="47"/>
      <c r="O223" s="4"/>
      <c r="S223" s="5"/>
    </row>
    <row r="224" spans="1:19" x14ac:dyDescent="0.25">
      <c r="C224" s="4"/>
      <c r="E224" s="5"/>
      <c r="F224" s="5"/>
      <c r="H224" s="47"/>
      <c r="I224" s="47"/>
      <c r="O224" s="4"/>
      <c r="S224" s="5"/>
    </row>
    <row r="225" spans="3:19" x14ac:dyDescent="0.25">
      <c r="C225" s="4"/>
      <c r="E225" s="5"/>
      <c r="F225" s="5"/>
      <c r="H225" s="47"/>
      <c r="I225" s="47"/>
      <c r="O225" s="4"/>
      <c r="S225" s="5"/>
    </row>
    <row r="226" spans="3:19" x14ac:dyDescent="0.25">
      <c r="C226" s="4"/>
      <c r="E226" s="5"/>
      <c r="F226" s="5"/>
      <c r="H226" s="47"/>
      <c r="I226" s="47"/>
      <c r="O226" s="4"/>
      <c r="S226" s="5"/>
    </row>
    <row r="227" spans="3:19" x14ac:dyDescent="0.25">
      <c r="C227" s="4"/>
      <c r="E227" s="5"/>
      <c r="F227" s="5"/>
      <c r="H227" s="47"/>
      <c r="I227" s="47"/>
      <c r="O227" s="4"/>
      <c r="S227" s="5"/>
    </row>
    <row r="228" spans="3:19" x14ac:dyDescent="0.25">
      <c r="C228" s="4"/>
      <c r="E228" s="5"/>
      <c r="F228" s="5"/>
      <c r="H228" s="47"/>
      <c r="I228" s="47"/>
      <c r="O228" s="4"/>
      <c r="S228" s="5"/>
    </row>
    <row r="229" spans="3:19" x14ac:dyDescent="0.25">
      <c r="C229" s="4"/>
      <c r="E229" s="5"/>
      <c r="F229" s="5"/>
      <c r="H229" s="47"/>
      <c r="I229" s="47"/>
      <c r="O229" s="4"/>
      <c r="S229" s="5"/>
    </row>
    <row r="230" spans="3:19" x14ac:dyDescent="0.25">
      <c r="C230" s="4"/>
      <c r="E230" s="5"/>
      <c r="F230" s="5"/>
      <c r="H230" s="47"/>
      <c r="I230" s="47"/>
      <c r="O230" s="4"/>
      <c r="S230" s="5"/>
    </row>
    <row r="231" spans="3:19" x14ac:dyDescent="0.25">
      <c r="C231" s="4"/>
      <c r="E231" s="5"/>
      <c r="F231" s="5"/>
      <c r="H231" s="47"/>
      <c r="I231" s="47"/>
      <c r="O231" s="4"/>
      <c r="S231" s="5"/>
    </row>
    <row r="232" spans="3:19" x14ac:dyDescent="0.25">
      <c r="C232" s="4"/>
      <c r="E232" s="5"/>
      <c r="F232" s="5"/>
      <c r="H232" s="47"/>
      <c r="I232" s="47"/>
      <c r="O232" s="4"/>
      <c r="S232" s="5"/>
    </row>
    <row r="233" spans="3:19" x14ac:dyDescent="0.25">
      <c r="C233" s="4"/>
      <c r="E233" s="5"/>
      <c r="F233" s="5"/>
      <c r="H233" s="47"/>
      <c r="I233" s="47"/>
      <c r="O233" s="4"/>
      <c r="S233" s="5"/>
    </row>
    <row r="234" spans="3:19" x14ac:dyDescent="0.25">
      <c r="C234" s="4"/>
      <c r="E234" s="5"/>
      <c r="F234" s="5"/>
      <c r="H234" s="47"/>
      <c r="I234" s="47"/>
      <c r="O234" s="4"/>
      <c r="S234" s="5"/>
    </row>
    <row r="235" spans="3:19" x14ac:dyDescent="0.25">
      <c r="C235" s="4"/>
      <c r="E235" s="5"/>
      <c r="F235" s="5"/>
      <c r="H235" s="47"/>
      <c r="I235" s="47"/>
      <c r="O235" s="4"/>
      <c r="S235" s="5"/>
    </row>
    <row r="236" spans="3:19" x14ac:dyDescent="0.25">
      <c r="C236" s="4"/>
      <c r="E236" s="5"/>
      <c r="F236" s="5"/>
      <c r="H236" s="47"/>
      <c r="I236" s="47"/>
      <c r="O236" s="4"/>
      <c r="S236" s="5"/>
    </row>
    <row r="237" spans="3:19" x14ac:dyDescent="0.25">
      <c r="C237" s="4"/>
      <c r="E237" s="5"/>
      <c r="F237" s="5"/>
      <c r="H237" s="47"/>
      <c r="I237" s="47"/>
      <c r="O237" s="4"/>
      <c r="S237" s="5"/>
    </row>
    <row r="238" spans="3:19" x14ac:dyDescent="0.25">
      <c r="C238" s="4"/>
      <c r="E238" s="5"/>
      <c r="F238" s="5"/>
      <c r="H238" s="47"/>
      <c r="I238" s="47"/>
      <c r="O238" s="4"/>
      <c r="S238" s="5"/>
    </row>
    <row r="239" spans="3:19" x14ac:dyDescent="0.25">
      <c r="C239" s="4"/>
      <c r="E239" s="5"/>
      <c r="F239" s="5"/>
      <c r="H239" s="47"/>
      <c r="I239" s="47"/>
      <c r="O239" s="4"/>
      <c r="S239" s="5"/>
    </row>
    <row r="240" spans="3:19" x14ac:dyDescent="0.25">
      <c r="C240" s="4"/>
      <c r="E240" s="5"/>
      <c r="F240" s="5"/>
      <c r="H240" s="47"/>
      <c r="I240" s="47"/>
      <c r="O240" s="4"/>
      <c r="S240" s="5"/>
    </row>
    <row r="241" spans="3:19" x14ac:dyDescent="0.25">
      <c r="C241" s="4"/>
      <c r="E241" s="5"/>
      <c r="F241" s="5"/>
      <c r="H241" s="47"/>
      <c r="I241" s="47"/>
      <c r="O241" s="4"/>
      <c r="S241" s="5"/>
    </row>
    <row r="242" spans="3:19" x14ac:dyDescent="0.25">
      <c r="C242" s="4"/>
      <c r="E242" s="5"/>
      <c r="F242" s="5"/>
      <c r="H242" s="47"/>
      <c r="I242" s="47"/>
      <c r="O242" s="4"/>
      <c r="S242" s="5"/>
    </row>
    <row r="243" spans="3:19" x14ac:dyDescent="0.25">
      <c r="C243" s="4"/>
      <c r="E243" s="5"/>
      <c r="F243" s="5"/>
      <c r="H243" s="47"/>
      <c r="I243" s="47"/>
      <c r="O243" s="4"/>
      <c r="S243" s="5"/>
    </row>
    <row r="244" spans="3:19" x14ac:dyDescent="0.25">
      <c r="C244" s="4"/>
      <c r="E244" s="5"/>
      <c r="F244" s="5"/>
      <c r="H244" s="47"/>
      <c r="I244" s="47"/>
      <c r="O244" s="4"/>
      <c r="S244" s="5"/>
    </row>
    <row r="245" spans="3:19" x14ac:dyDescent="0.25">
      <c r="C245" s="4"/>
      <c r="E245" s="5"/>
      <c r="F245" s="5"/>
      <c r="H245" s="47"/>
      <c r="I245" s="47"/>
      <c r="O245" s="4"/>
      <c r="S245" s="5"/>
    </row>
    <row r="246" spans="3:19" x14ac:dyDescent="0.25">
      <c r="C246" s="4"/>
      <c r="E246" s="5"/>
      <c r="F246" s="5"/>
      <c r="H246" s="47"/>
      <c r="I246" s="47"/>
      <c r="O246" s="4"/>
      <c r="S246" s="5"/>
    </row>
    <row r="247" spans="3:19" x14ac:dyDescent="0.25">
      <c r="C247" s="4"/>
      <c r="E247" s="5"/>
      <c r="F247" s="5"/>
      <c r="H247" s="47"/>
      <c r="I247" s="47"/>
      <c r="O247" s="4"/>
      <c r="S247" s="5"/>
    </row>
    <row r="248" spans="3:19" x14ac:dyDescent="0.25">
      <c r="C248" s="4"/>
      <c r="E248" s="5"/>
      <c r="F248" s="5"/>
      <c r="H248" s="47"/>
      <c r="I248" s="47"/>
      <c r="O248" s="4"/>
      <c r="S248" s="5"/>
    </row>
    <row r="249" spans="3:19" x14ac:dyDescent="0.25">
      <c r="C249" s="4"/>
      <c r="E249" s="5"/>
      <c r="F249" s="5"/>
      <c r="H249" s="47"/>
      <c r="I249" s="47"/>
      <c r="O249" s="4"/>
      <c r="S249" s="5"/>
    </row>
    <row r="250" spans="3:19" x14ac:dyDescent="0.25">
      <c r="C250" s="4"/>
      <c r="E250" s="5"/>
      <c r="F250" s="5"/>
      <c r="H250" s="47"/>
      <c r="I250" s="47"/>
      <c r="O250" s="4"/>
      <c r="S250" s="5"/>
    </row>
    <row r="251" spans="3:19" x14ac:dyDescent="0.25">
      <c r="C251" s="4"/>
      <c r="E251" s="5"/>
      <c r="F251" s="5"/>
      <c r="H251" s="47"/>
      <c r="I251" s="47"/>
      <c r="O251" s="4"/>
      <c r="S251" s="5"/>
    </row>
    <row r="252" spans="3:19" x14ac:dyDescent="0.25">
      <c r="C252" s="4"/>
      <c r="E252" s="5"/>
      <c r="F252" s="5"/>
      <c r="H252" s="47"/>
      <c r="I252" s="47"/>
      <c r="O252" s="4"/>
      <c r="S252" s="5"/>
    </row>
    <row r="253" spans="3:19" x14ac:dyDescent="0.25">
      <c r="C253" s="4"/>
      <c r="E253" s="5"/>
      <c r="F253" s="5"/>
      <c r="H253" s="47"/>
      <c r="I253" s="47"/>
      <c r="O253" s="4"/>
      <c r="S253" s="5"/>
    </row>
    <row r="254" spans="3:19" x14ac:dyDescent="0.25">
      <c r="C254" s="4"/>
      <c r="E254" s="5"/>
      <c r="F254" s="5"/>
      <c r="H254" s="47"/>
      <c r="I254" s="47"/>
      <c r="O254" s="4"/>
      <c r="S254" s="5"/>
    </row>
    <row r="255" spans="3:19" x14ac:dyDescent="0.25">
      <c r="C255" s="4"/>
      <c r="E255" s="5"/>
      <c r="F255" s="5"/>
      <c r="H255" s="47"/>
      <c r="I255" s="47"/>
      <c r="O255" s="4"/>
      <c r="S255" s="5"/>
    </row>
    <row r="256" spans="3:19" x14ac:dyDescent="0.25">
      <c r="C256" s="4"/>
      <c r="E256" s="5"/>
      <c r="F256" s="5"/>
      <c r="H256" s="47"/>
      <c r="I256" s="47"/>
      <c r="O256" s="4"/>
      <c r="S256" s="5"/>
    </row>
    <row r="257" spans="3:19" x14ac:dyDescent="0.25">
      <c r="C257" s="4"/>
      <c r="E257" s="5"/>
      <c r="F257" s="5"/>
      <c r="H257" s="47"/>
      <c r="I257" s="47"/>
      <c r="O257" s="4"/>
      <c r="S257" s="5"/>
    </row>
    <row r="258" spans="3:19" x14ac:dyDescent="0.25">
      <c r="C258" s="4"/>
      <c r="E258" s="5"/>
      <c r="F258" s="5"/>
      <c r="H258" s="47"/>
      <c r="I258" s="47"/>
      <c r="O258" s="4"/>
      <c r="S258" s="5"/>
    </row>
    <row r="259" spans="3:19" x14ac:dyDescent="0.25">
      <c r="C259" s="4"/>
      <c r="E259" s="5"/>
      <c r="F259" s="5"/>
      <c r="H259" s="47"/>
      <c r="I259" s="47"/>
      <c r="O259" s="4"/>
      <c r="S259" s="5"/>
    </row>
    <row r="260" spans="3:19" x14ac:dyDescent="0.25">
      <c r="C260" s="4"/>
      <c r="E260" s="5"/>
      <c r="F260" s="5"/>
      <c r="H260" s="47"/>
      <c r="I260" s="47"/>
      <c r="O260" s="4"/>
      <c r="S260" s="5"/>
    </row>
    <row r="261" spans="3:19" x14ac:dyDescent="0.25">
      <c r="C261" s="4"/>
      <c r="E261" s="5"/>
      <c r="F261" s="5"/>
      <c r="H261" s="47"/>
      <c r="I261" s="47"/>
      <c r="O261" s="4"/>
      <c r="S261" s="5"/>
    </row>
    <row r="262" spans="3:19" x14ac:dyDescent="0.25">
      <c r="C262" s="4"/>
      <c r="E262" s="5"/>
      <c r="F262" s="5"/>
      <c r="H262" s="47"/>
      <c r="I262" s="47"/>
      <c r="O262" s="4"/>
      <c r="S262" s="5"/>
    </row>
    <row r="263" spans="3:19" x14ac:dyDescent="0.25">
      <c r="C263" s="4"/>
      <c r="E263" s="5"/>
      <c r="F263" s="5"/>
      <c r="H263" s="47"/>
      <c r="I263" s="47"/>
      <c r="O263" s="4"/>
      <c r="S263" s="5"/>
    </row>
    <row r="264" spans="3:19" x14ac:dyDescent="0.25">
      <c r="C264" s="4"/>
      <c r="E264" s="5"/>
      <c r="F264" s="5"/>
      <c r="H264" s="47"/>
      <c r="I264" s="47"/>
      <c r="O264" s="4"/>
      <c r="S264" s="5"/>
    </row>
    <row r="265" spans="3:19" x14ac:dyDescent="0.25">
      <c r="C265" s="4"/>
      <c r="E265" s="5"/>
      <c r="F265" s="5"/>
      <c r="H265" s="47"/>
      <c r="I265" s="47"/>
      <c r="O265" s="4"/>
      <c r="S265" s="5"/>
    </row>
    <row r="266" spans="3:19" x14ac:dyDescent="0.25">
      <c r="C266" s="4"/>
      <c r="E266" s="5"/>
      <c r="F266" s="5"/>
      <c r="H266" s="47"/>
      <c r="I266" s="47"/>
      <c r="O266" s="4"/>
      <c r="S266" s="5"/>
    </row>
    <row r="267" spans="3:19" x14ac:dyDescent="0.25">
      <c r="C267" s="4"/>
      <c r="E267" s="5"/>
      <c r="F267" s="5"/>
      <c r="H267" s="47"/>
      <c r="I267" s="47"/>
      <c r="O267" s="4"/>
      <c r="S267" s="5"/>
    </row>
    <row r="268" spans="3:19" x14ac:dyDescent="0.25">
      <c r="C268" s="4"/>
      <c r="E268" s="5"/>
      <c r="F268" s="5"/>
      <c r="H268" s="47"/>
      <c r="I268" s="47"/>
      <c r="O268" s="4"/>
      <c r="S268" s="5"/>
    </row>
    <row r="269" spans="3:19" x14ac:dyDescent="0.25">
      <c r="C269" s="4"/>
      <c r="E269" s="5"/>
      <c r="F269" s="5"/>
      <c r="H269" s="47"/>
      <c r="I269" s="47"/>
      <c r="O269" s="4"/>
      <c r="S269" s="5"/>
    </row>
    <row r="270" spans="3:19" x14ac:dyDescent="0.25">
      <c r="C270" s="4"/>
      <c r="E270" s="5"/>
      <c r="F270" s="5"/>
      <c r="H270" s="47"/>
      <c r="I270" s="47"/>
      <c r="O270" s="4"/>
      <c r="S270" s="5"/>
    </row>
    <row r="271" spans="3:19" x14ac:dyDescent="0.25">
      <c r="C271" s="4"/>
      <c r="E271" s="5"/>
      <c r="F271" s="5"/>
      <c r="H271" s="47"/>
      <c r="I271" s="47"/>
      <c r="O271" s="4"/>
      <c r="S271" s="5"/>
    </row>
    <row r="272" spans="3:19" x14ac:dyDescent="0.25">
      <c r="C272" s="4"/>
      <c r="E272" s="5"/>
      <c r="F272" s="5"/>
      <c r="H272" s="47"/>
      <c r="I272" s="47"/>
      <c r="O272" s="4"/>
      <c r="S272" s="5"/>
    </row>
    <row r="273" spans="3:19" x14ac:dyDescent="0.25">
      <c r="C273" s="4"/>
      <c r="E273" s="5"/>
      <c r="F273" s="5"/>
      <c r="H273" s="47"/>
      <c r="I273" s="47"/>
      <c r="O273" s="4"/>
      <c r="S273" s="5"/>
    </row>
    <row r="274" spans="3:19" x14ac:dyDescent="0.25">
      <c r="C274" s="4"/>
      <c r="E274" s="5"/>
      <c r="F274" s="5"/>
      <c r="H274" s="47"/>
      <c r="I274" s="47"/>
      <c r="O274" s="4"/>
      <c r="S274" s="5"/>
    </row>
    <row r="275" spans="3:19" x14ac:dyDescent="0.25">
      <c r="C275" s="4"/>
      <c r="E275" s="5"/>
      <c r="F275" s="5"/>
      <c r="H275" s="47"/>
      <c r="I275" s="47"/>
      <c r="O275" s="4"/>
      <c r="S275" s="5"/>
    </row>
    <row r="276" spans="3:19" x14ac:dyDescent="0.25">
      <c r="C276" s="4"/>
      <c r="E276" s="5"/>
      <c r="F276" s="5"/>
      <c r="H276" s="47"/>
      <c r="I276" s="47"/>
      <c r="O276" s="4"/>
      <c r="S276" s="5"/>
    </row>
    <row r="277" spans="3:19" x14ac:dyDescent="0.25">
      <c r="C277" s="4"/>
      <c r="E277" s="5"/>
      <c r="F277" s="5"/>
      <c r="H277" s="47"/>
      <c r="I277" s="47"/>
      <c r="O277" s="4"/>
      <c r="S277" s="5"/>
    </row>
    <row r="278" spans="3:19" x14ac:dyDescent="0.25">
      <c r="C278" s="4"/>
      <c r="E278" s="5"/>
      <c r="F278" s="5"/>
      <c r="H278" s="47"/>
      <c r="I278" s="47"/>
      <c r="O278" s="4"/>
      <c r="S278" s="5"/>
    </row>
    <row r="279" spans="3:19" x14ac:dyDescent="0.25">
      <c r="C279" s="4"/>
      <c r="E279" s="5"/>
      <c r="F279" s="5"/>
      <c r="H279" s="47"/>
      <c r="I279" s="47"/>
      <c r="O279" s="4"/>
      <c r="S279" s="5"/>
    </row>
    <row r="280" spans="3:19" x14ac:dyDescent="0.25">
      <c r="C280" s="4"/>
      <c r="E280" s="5"/>
      <c r="F280" s="5"/>
      <c r="H280" s="47"/>
      <c r="I280" s="47"/>
      <c r="O280" s="4"/>
      <c r="S280" s="5"/>
    </row>
    <row r="281" spans="3:19" x14ac:dyDescent="0.25">
      <c r="C281" s="4"/>
      <c r="E281" s="5"/>
      <c r="F281" s="5"/>
      <c r="H281" s="47"/>
      <c r="I281" s="47"/>
      <c r="O281" s="4"/>
      <c r="S281" s="5"/>
    </row>
    <row r="282" spans="3:19" x14ac:dyDescent="0.25">
      <c r="C282" s="4"/>
      <c r="E282" s="5"/>
      <c r="F282" s="5"/>
      <c r="H282" s="47"/>
      <c r="I282" s="47"/>
      <c r="O282" s="4"/>
      <c r="S282" s="5"/>
    </row>
    <row r="283" spans="3:19" x14ac:dyDescent="0.25">
      <c r="C283" s="4"/>
      <c r="E283" s="5"/>
      <c r="F283" s="5"/>
      <c r="H283" s="47"/>
      <c r="I283" s="47"/>
      <c r="O283" s="4"/>
      <c r="S283" s="5"/>
    </row>
    <row r="284" spans="3:19" x14ac:dyDescent="0.25">
      <c r="C284" s="4"/>
      <c r="E284" s="5"/>
      <c r="F284" s="5"/>
      <c r="H284" s="47"/>
      <c r="I284" s="47"/>
      <c r="O284" s="4"/>
      <c r="S284" s="5"/>
    </row>
    <row r="285" spans="3:19" x14ac:dyDescent="0.25">
      <c r="C285" s="4"/>
      <c r="E285" s="5"/>
      <c r="F285" s="5"/>
      <c r="H285" s="47"/>
      <c r="I285" s="47"/>
      <c r="O285" s="4"/>
      <c r="S285" s="5"/>
    </row>
    <row r="286" spans="3:19" x14ac:dyDescent="0.25">
      <c r="C286" s="4"/>
      <c r="E286" s="5"/>
      <c r="F286" s="5"/>
      <c r="H286" s="47"/>
      <c r="I286" s="47"/>
      <c r="O286" s="4"/>
      <c r="S286" s="5"/>
    </row>
    <row r="287" spans="3:19" x14ac:dyDescent="0.25">
      <c r="C287" s="4"/>
      <c r="E287" s="5"/>
      <c r="F287" s="5"/>
      <c r="H287" s="47"/>
      <c r="I287" s="47"/>
      <c r="O287" s="4"/>
      <c r="S287" s="5"/>
    </row>
    <row r="288" spans="3:19" x14ac:dyDescent="0.25">
      <c r="C288" s="4"/>
      <c r="E288" s="5"/>
      <c r="F288" s="5"/>
      <c r="H288" s="47"/>
      <c r="I288" s="47"/>
      <c r="O288" s="4"/>
      <c r="S288" s="5"/>
    </row>
    <row r="289" spans="3:19" x14ac:dyDescent="0.25">
      <c r="C289" s="4"/>
      <c r="E289" s="5"/>
      <c r="F289" s="5"/>
      <c r="H289" s="47"/>
      <c r="I289" s="47"/>
      <c r="O289" s="4"/>
      <c r="S289" s="5"/>
    </row>
    <row r="290" spans="3:19" x14ac:dyDescent="0.25">
      <c r="C290" s="4"/>
      <c r="E290" s="5"/>
      <c r="F290" s="5"/>
      <c r="H290" s="47"/>
      <c r="I290" s="47"/>
      <c r="O290" s="4"/>
      <c r="S290" s="5"/>
    </row>
    <row r="291" spans="3:19" x14ac:dyDescent="0.25">
      <c r="C291" s="4"/>
      <c r="E291" s="5"/>
      <c r="F291" s="5"/>
      <c r="H291" s="47"/>
      <c r="I291" s="47"/>
      <c r="O291" s="4"/>
      <c r="S291" s="5"/>
    </row>
    <row r="292" spans="3:19" x14ac:dyDescent="0.25">
      <c r="C292" s="4"/>
      <c r="E292" s="5"/>
      <c r="F292" s="5"/>
      <c r="H292" s="47"/>
      <c r="I292" s="47"/>
      <c r="O292" s="4"/>
      <c r="S292" s="5"/>
    </row>
    <row r="293" spans="3:19" x14ac:dyDescent="0.25">
      <c r="C293" s="4"/>
      <c r="E293" s="5"/>
      <c r="F293" s="5"/>
      <c r="H293" s="47"/>
      <c r="I293" s="47"/>
      <c r="O293" s="4"/>
      <c r="S293" s="5"/>
    </row>
    <row r="294" spans="3:19" x14ac:dyDescent="0.25">
      <c r="C294" s="4"/>
      <c r="E294" s="5"/>
      <c r="F294" s="5"/>
      <c r="H294" s="47"/>
      <c r="I294" s="47"/>
      <c r="O294" s="4"/>
      <c r="S294" s="5"/>
    </row>
    <row r="295" spans="3:19" x14ac:dyDescent="0.25">
      <c r="C295" s="4"/>
      <c r="E295" s="5"/>
      <c r="F295" s="5"/>
      <c r="H295" s="47"/>
      <c r="I295" s="47"/>
      <c r="O295" s="4"/>
      <c r="S295" s="5"/>
    </row>
    <row r="296" spans="3:19" x14ac:dyDescent="0.25">
      <c r="C296" s="4"/>
      <c r="E296" s="5"/>
      <c r="F296" s="5"/>
      <c r="H296" s="47"/>
      <c r="I296" s="47"/>
      <c r="O296" s="4"/>
      <c r="S296" s="5"/>
    </row>
    <row r="297" spans="3:19" x14ac:dyDescent="0.25">
      <c r="C297" s="4"/>
      <c r="E297" s="5"/>
      <c r="F297" s="5"/>
      <c r="H297" s="47"/>
      <c r="I297" s="47"/>
      <c r="O297" s="4"/>
      <c r="S297" s="5"/>
    </row>
    <row r="298" spans="3:19" x14ac:dyDescent="0.25">
      <c r="C298" s="4"/>
      <c r="E298" s="5"/>
      <c r="F298" s="5"/>
      <c r="H298" s="47"/>
      <c r="I298" s="47"/>
      <c r="O298" s="4"/>
      <c r="S298" s="5"/>
    </row>
    <row r="299" spans="3:19" x14ac:dyDescent="0.25">
      <c r="C299" s="4"/>
      <c r="E299" s="5"/>
      <c r="F299" s="5"/>
      <c r="H299" s="47"/>
      <c r="I299" s="47"/>
      <c r="O299" s="4"/>
      <c r="S299" s="5"/>
    </row>
    <row r="300" spans="3:19" x14ac:dyDescent="0.25">
      <c r="C300" s="4"/>
      <c r="E300" s="5"/>
      <c r="F300" s="5"/>
      <c r="H300" s="47"/>
      <c r="I300" s="47"/>
      <c r="O300" s="4"/>
      <c r="S300" s="5"/>
    </row>
    <row r="301" spans="3:19" x14ac:dyDescent="0.25">
      <c r="C301" s="4"/>
      <c r="E301" s="5"/>
      <c r="F301" s="5"/>
      <c r="H301" s="47"/>
      <c r="I301" s="47"/>
      <c r="O301" s="4"/>
      <c r="S301" s="5"/>
    </row>
    <row r="302" spans="3:19" x14ac:dyDescent="0.25">
      <c r="C302" s="4"/>
      <c r="E302" s="5"/>
      <c r="F302" s="5"/>
      <c r="H302" s="47"/>
      <c r="I302" s="47"/>
      <c r="O302" s="4"/>
      <c r="S302" s="5"/>
    </row>
    <row r="303" spans="3:19" x14ac:dyDescent="0.25">
      <c r="C303" s="4"/>
      <c r="E303" s="5"/>
      <c r="F303" s="5"/>
      <c r="H303" s="47"/>
      <c r="I303" s="47"/>
      <c r="O303" s="4"/>
      <c r="S303" s="5"/>
    </row>
    <row r="304" spans="3:19" x14ac:dyDescent="0.25">
      <c r="C304" s="4"/>
      <c r="E304" s="5"/>
      <c r="F304" s="5"/>
      <c r="H304" s="47"/>
      <c r="I304" s="47"/>
      <c r="O304" s="4"/>
      <c r="S304" s="5"/>
    </row>
    <row r="305" spans="3:19" x14ac:dyDescent="0.25">
      <c r="C305" s="4"/>
      <c r="E305" s="5"/>
      <c r="F305" s="5"/>
      <c r="H305" s="47"/>
      <c r="I305" s="47"/>
      <c r="O305" s="4"/>
      <c r="S305" s="5"/>
    </row>
    <row r="306" spans="3:19" x14ac:dyDescent="0.25">
      <c r="C306" s="4"/>
      <c r="E306" s="5"/>
      <c r="F306" s="5"/>
      <c r="H306" s="47"/>
      <c r="I306" s="47"/>
      <c r="O306" s="4"/>
      <c r="S306" s="5"/>
    </row>
    <row r="307" spans="3:19" x14ac:dyDescent="0.25">
      <c r="C307" s="4"/>
      <c r="E307" s="5"/>
      <c r="F307" s="5"/>
      <c r="H307" s="47"/>
      <c r="I307" s="47"/>
      <c r="O307" s="4"/>
      <c r="S307" s="5"/>
    </row>
    <row r="308" spans="3:19" x14ac:dyDescent="0.25">
      <c r="C308" s="4"/>
      <c r="E308" s="5"/>
      <c r="F308" s="5"/>
      <c r="H308" s="47"/>
      <c r="I308" s="47"/>
      <c r="O308" s="4"/>
      <c r="S308" s="5"/>
    </row>
    <row r="309" spans="3:19" x14ac:dyDescent="0.25">
      <c r="C309" s="4"/>
      <c r="E309" s="5"/>
      <c r="F309" s="5"/>
      <c r="H309" s="47"/>
      <c r="I309" s="47"/>
      <c r="O309" s="4"/>
      <c r="S309" s="5"/>
    </row>
    <row r="310" spans="3:19" x14ac:dyDescent="0.25">
      <c r="C310" s="4"/>
      <c r="E310" s="5"/>
      <c r="F310" s="5"/>
      <c r="H310" s="47"/>
      <c r="I310" s="47"/>
      <c r="O310" s="4"/>
      <c r="S310" s="5"/>
    </row>
    <row r="311" spans="3:19" x14ac:dyDescent="0.25">
      <c r="C311" s="4"/>
      <c r="E311" s="5"/>
      <c r="F311" s="5"/>
      <c r="H311" s="47"/>
      <c r="I311" s="47"/>
      <c r="O311" s="4"/>
      <c r="S311" s="5"/>
    </row>
    <row r="312" spans="3:19" x14ac:dyDescent="0.25">
      <c r="C312" s="4"/>
      <c r="E312" s="5"/>
      <c r="F312" s="5"/>
      <c r="H312" s="47"/>
      <c r="I312" s="47"/>
      <c r="O312" s="4"/>
      <c r="S312" s="5"/>
    </row>
    <row r="313" spans="3:19" x14ac:dyDescent="0.25">
      <c r="C313" s="4"/>
      <c r="E313" s="5"/>
      <c r="F313" s="5"/>
      <c r="H313" s="47"/>
      <c r="I313" s="47"/>
      <c r="O313" s="4"/>
      <c r="S313" s="5"/>
    </row>
    <row r="314" spans="3:19" x14ac:dyDescent="0.25">
      <c r="C314" s="4"/>
      <c r="E314" s="5"/>
      <c r="F314" s="5"/>
      <c r="H314" s="47"/>
      <c r="I314" s="47"/>
      <c r="O314" s="4"/>
      <c r="S314" s="5"/>
    </row>
    <row r="315" spans="3:19" x14ac:dyDescent="0.25">
      <c r="C315" s="4"/>
      <c r="E315" s="5"/>
      <c r="F315" s="5"/>
      <c r="H315" s="47"/>
      <c r="I315" s="47"/>
      <c r="O315" s="4"/>
      <c r="S315" s="5"/>
    </row>
    <row r="316" spans="3:19" x14ac:dyDescent="0.25">
      <c r="C316" s="4"/>
      <c r="E316" s="5"/>
      <c r="F316" s="5"/>
      <c r="H316" s="47"/>
      <c r="I316" s="47"/>
      <c r="O316" s="4"/>
      <c r="S316" s="5"/>
    </row>
    <row r="317" spans="3:19" x14ac:dyDescent="0.25">
      <c r="C317" s="4"/>
      <c r="E317" s="5"/>
      <c r="F317" s="5"/>
      <c r="H317" s="47"/>
      <c r="I317" s="47"/>
      <c r="O317" s="4"/>
      <c r="S317" s="5"/>
    </row>
    <row r="318" spans="3:19" x14ac:dyDescent="0.25">
      <c r="C318" s="4"/>
      <c r="E318" s="5"/>
      <c r="F318" s="5"/>
      <c r="H318" s="47"/>
      <c r="I318" s="47"/>
      <c r="O318" s="4"/>
      <c r="S318" s="5"/>
    </row>
    <row r="319" spans="3:19" x14ac:dyDescent="0.25">
      <c r="C319" s="4"/>
      <c r="E319" s="5"/>
      <c r="F319" s="5"/>
      <c r="H319" s="47"/>
      <c r="I319" s="47"/>
      <c r="O319" s="4"/>
      <c r="S319" s="5"/>
    </row>
    <row r="320" spans="3:19" x14ac:dyDescent="0.25">
      <c r="C320" s="4"/>
      <c r="E320" s="5"/>
      <c r="F320" s="5"/>
      <c r="H320" s="47"/>
      <c r="I320" s="47"/>
      <c r="O320" s="4"/>
      <c r="S320" s="5"/>
    </row>
    <row r="321" spans="3:19" x14ac:dyDescent="0.25">
      <c r="C321" s="4"/>
      <c r="E321" s="5"/>
      <c r="F321" s="5"/>
      <c r="H321" s="47"/>
      <c r="I321" s="47"/>
      <c r="O321" s="4"/>
      <c r="S321" s="5"/>
    </row>
    <row r="322" spans="3:19" x14ac:dyDescent="0.25">
      <c r="C322" s="4"/>
      <c r="E322" s="5"/>
      <c r="F322" s="5"/>
      <c r="H322" s="47"/>
      <c r="I322" s="47"/>
      <c r="O322" s="4"/>
      <c r="S322" s="5"/>
    </row>
    <row r="323" spans="3:19" x14ac:dyDescent="0.25">
      <c r="C323" s="4"/>
      <c r="E323" s="5"/>
      <c r="F323" s="5"/>
      <c r="H323" s="47"/>
      <c r="I323" s="47"/>
      <c r="O323" s="4"/>
      <c r="S323" s="5"/>
    </row>
    <row r="324" spans="3:19" x14ac:dyDescent="0.25">
      <c r="C324" s="4"/>
      <c r="E324" s="5"/>
      <c r="F324" s="5"/>
      <c r="H324" s="47"/>
      <c r="I324" s="47"/>
      <c r="O324" s="4"/>
      <c r="S324" s="5"/>
    </row>
    <row r="325" spans="3:19" x14ac:dyDescent="0.25">
      <c r="C325" s="4"/>
      <c r="E325" s="5"/>
      <c r="F325" s="5"/>
      <c r="H325" s="47"/>
      <c r="I325" s="47"/>
      <c r="O325" s="4"/>
      <c r="S325" s="5"/>
    </row>
    <row r="326" spans="3:19" x14ac:dyDescent="0.25">
      <c r="C326" s="4"/>
      <c r="E326" s="5"/>
      <c r="F326" s="5"/>
      <c r="H326" s="47"/>
      <c r="I326" s="47"/>
      <c r="O326" s="4"/>
      <c r="S326" s="5"/>
    </row>
    <row r="327" spans="3:19" x14ac:dyDescent="0.25">
      <c r="C327" s="4"/>
      <c r="E327" s="5"/>
      <c r="F327" s="5"/>
      <c r="H327" s="47"/>
      <c r="I327" s="47"/>
      <c r="O327" s="4"/>
      <c r="S327" s="5"/>
    </row>
    <row r="328" spans="3:19" x14ac:dyDescent="0.25">
      <c r="C328" s="4"/>
      <c r="E328" s="5"/>
      <c r="F328" s="5"/>
      <c r="H328" s="47"/>
      <c r="I328" s="47"/>
      <c r="O328" s="4"/>
      <c r="S328" s="5"/>
    </row>
    <row r="329" spans="3:19" x14ac:dyDescent="0.25">
      <c r="C329" s="4"/>
      <c r="E329" s="5"/>
      <c r="F329" s="5"/>
      <c r="H329" s="47"/>
      <c r="I329" s="47"/>
      <c r="O329" s="4"/>
      <c r="S329" s="5"/>
    </row>
    <row r="330" spans="3:19" x14ac:dyDescent="0.25">
      <c r="C330" s="4"/>
      <c r="E330" s="5"/>
      <c r="F330" s="5"/>
      <c r="H330" s="47"/>
      <c r="I330" s="47"/>
      <c r="O330" s="4"/>
      <c r="S330" s="5"/>
    </row>
    <row r="331" spans="3:19" x14ac:dyDescent="0.25">
      <c r="C331" s="4"/>
      <c r="E331" s="5"/>
      <c r="F331" s="5"/>
      <c r="H331" s="47"/>
      <c r="I331" s="47"/>
      <c r="O331" s="4"/>
      <c r="S331" s="5"/>
    </row>
    <row r="332" spans="3:19" x14ac:dyDescent="0.25">
      <c r="C332" s="4"/>
      <c r="E332" s="5"/>
      <c r="F332" s="5"/>
      <c r="H332" s="47"/>
      <c r="I332" s="47"/>
      <c r="O332" s="4"/>
      <c r="S332" s="5"/>
    </row>
    <row r="333" spans="3:19" x14ac:dyDescent="0.25">
      <c r="C333" s="4"/>
      <c r="E333" s="5"/>
      <c r="F333" s="5"/>
      <c r="H333" s="47"/>
      <c r="I333" s="47"/>
      <c r="O333" s="4"/>
      <c r="S333" s="5"/>
    </row>
    <row r="334" spans="3:19" x14ac:dyDescent="0.25">
      <c r="C334" s="4"/>
      <c r="E334" s="5"/>
      <c r="F334" s="5"/>
      <c r="H334" s="47"/>
      <c r="I334" s="47"/>
      <c r="O334" s="4"/>
      <c r="S334" s="5"/>
    </row>
    <row r="335" spans="3:19" x14ac:dyDescent="0.25">
      <c r="C335" s="4"/>
      <c r="E335" s="5"/>
      <c r="F335" s="5"/>
      <c r="H335" s="47"/>
      <c r="I335" s="47"/>
      <c r="O335" s="4"/>
      <c r="S335" s="5"/>
    </row>
    <row r="336" spans="3:19" x14ac:dyDescent="0.25">
      <c r="C336" s="4"/>
      <c r="E336" s="5"/>
      <c r="F336" s="5"/>
      <c r="H336" s="47"/>
      <c r="I336" s="47"/>
      <c r="O336" s="4"/>
      <c r="S336" s="5"/>
    </row>
    <row r="337" spans="3:19" x14ac:dyDescent="0.25">
      <c r="C337" s="4"/>
      <c r="E337" s="5"/>
      <c r="F337" s="5"/>
      <c r="H337" s="47"/>
      <c r="I337" s="47"/>
      <c r="O337" s="4"/>
      <c r="S337" s="5"/>
    </row>
    <row r="338" spans="3:19" x14ac:dyDescent="0.25">
      <c r="C338" s="4"/>
      <c r="E338" s="5"/>
      <c r="F338" s="5"/>
      <c r="H338" s="47"/>
      <c r="I338" s="47"/>
      <c r="O338" s="4"/>
      <c r="S338" s="5"/>
    </row>
    <row r="339" spans="3:19" x14ac:dyDescent="0.25">
      <c r="C339" s="4"/>
      <c r="E339" s="5"/>
      <c r="F339" s="5"/>
      <c r="H339" s="47"/>
      <c r="I339" s="47"/>
      <c r="O339" s="4"/>
      <c r="S339" s="5"/>
    </row>
    <row r="340" spans="3:19" x14ac:dyDescent="0.25">
      <c r="C340" s="4"/>
      <c r="E340" s="5"/>
      <c r="F340" s="5"/>
      <c r="H340" s="47"/>
      <c r="I340" s="47"/>
      <c r="O340" s="4"/>
      <c r="S340" s="5"/>
    </row>
    <row r="341" spans="3:19" x14ac:dyDescent="0.25">
      <c r="C341" s="4"/>
      <c r="E341" s="5"/>
      <c r="F341" s="5"/>
      <c r="H341" s="47"/>
      <c r="I341" s="47"/>
      <c r="O341" s="4"/>
      <c r="S341" s="5"/>
    </row>
    <row r="342" spans="3:19" x14ac:dyDescent="0.25">
      <c r="C342" s="4"/>
      <c r="E342" s="5"/>
      <c r="F342" s="5"/>
      <c r="H342" s="47"/>
      <c r="I342" s="47"/>
      <c r="O342" s="4"/>
      <c r="S342" s="5"/>
    </row>
    <row r="343" spans="3:19" x14ac:dyDescent="0.25">
      <c r="C343" s="4"/>
      <c r="E343" s="5"/>
      <c r="F343" s="5"/>
      <c r="H343" s="47"/>
      <c r="I343" s="47"/>
      <c r="O343" s="4"/>
      <c r="S343" s="5"/>
    </row>
    <row r="344" spans="3:19" x14ac:dyDescent="0.25">
      <c r="C344" s="4"/>
      <c r="E344" s="5"/>
      <c r="F344" s="5"/>
      <c r="H344" s="47"/>
      <c r="I344" s="47"/>
      <c r="O344" s="4"/>
      <c r="S344" s="5"/>
    </row>
    <row r="345" spans="3:19" x14ac:dyDescent="0.25">
      <c r="C345" s="4"/>
      <c r="E345" s="5"/>
      <c r="F345" s="5"/>
      <c r="H345" s="47"/>
      <c r="I345" s="47"/>
      <c r="O345" s="4"/>
      <c r="S345" s="5"/>
    </row>
    <row r="346" spans="3:19" x14ac:dyDescent="0.25">
      <c r="C346" s="4"/>
      <c r="E346" s="5"/>
      <c r="F346" s="5"/>
      <c r="H346" s="47"/>
      <c r="I346" s="47"/>
      <c r="O346" s="4"/>
      <c r="S346" s="5"/>
    </row>
    <row r="347" spans="3:19" x14ac:dyDescent="0.25">
      <c r="C347" s="4"/>
      <c r="E347" s="5"/>
      <c r="F347" s="5"/>
      <c r="H347" s="47"/>
      <c r="I347" s="47"/>
      <c r="O347" s="4"/>
      <c r="S347" s="5"/>
    </row>
    <row r="348" spans="3:19" x14ac:dyDescent="0.25">
      <c r="C348" s="4"/>
      <c r="E348" s="5"/>
      <c r="F348" s="5"/>
      <c r="H348" s="47"/>
      <c r="I348" s="47"/>
      <c r="O348" s="4"/>
      <c r="S348" s="5"/>
    </row>
    <row r="349" spans="3:19" x14ac:dyDescent="0.25">
      <c r="C349" s="4"/>
      <c r="E349" s="5"/>
      <c r="F349" s="5"/>
      <c r="H349" s="47"/>
      <c r="I349" s="47"/>
      <c r="O349" s="4"/>
      <c r="S349" s="5"/>
    </row>
    <row r="350" spans="3:19" x14ac:dyDescent="0.25">
      <c r="C350" s="4"/>
      <c r="E350" s="5"/>
      <c r="F350" s="5"/>
      <c r="H350" s="47"/>
      <c r="I350" s="47"/>
      <c r="O350" s="4"/>
      <c r="S350" s="5"/>
    </row>
    <row r="351" spans="3:19" x14ac:dyDescent="0.25">
      <c r="C351" s="4"/>
      <c r="E351" s="5"/>
      <c r="F351" s="5"/>
      <c r="H351" s="47"/>
      <c r="I351" s="47"/>
      <c r="O351" s="4"/>
      <c r="S351" s="5"/>
    </row>
    <row r="352" spans="3:19" x14ac:dyDescent="0.25">
      <c r="C352" s="4"/>
      <c r="E352" s="5"/>
      <c r="F352" s="5"/>
      <c r="H352" s="47"/>
      <c r="I352" s="47"/>
      <c r="O352" s="4"/>
      <c r="S352" s="5"/>
    </row>
    <row r="353" spans="3:19" x14ac:dyDescent="0.25">
      <c r="C353" s="4"/>
      <c r="E353" s="5"/>
      <c r="F353" s="5"/>
      <c r="H353" s="47"/>
      <c r="I353" s="47"/>
      <c r="O353" s="4"/>
      <c r="S353" s="5"/>
    </row>
    <row r="354" spans="3:19" x14ac:dyDescent="0.25">
      <c r="C354" s="4"/>
      <c r="E354" s="5"/>
      <c r="F354" s="5"/>
      <c r="H354" s="47"/>
      <c r="I354" s="47"/>
      <c r="O354" s="4"/>
      <c r="S354" s="5"/>
    </row>
    <row r="355" spans="3:19" x14ac:dyDescent="0.25">
      <c r="C355" s="4"/>
      <c r="E355" s="5"/>
      <c r="F355" s="5"/>
      <c r="H355" s="47"/>
      <c r="I355" s="47"/>
      <c r="O355" s="4"/>
      <c r="S355" s="5"/>
    </row>
    <row r="356" spans="3:19" x14ac:dyDescent="0.25">
      <c r="C356" s="4"/>
      <c r="E356" s="5"/>
      <c r="F356" s="5"/>
      <c r="H356" s="47"/>
      <c r="I356" s="47"/>
      <c r="O356" s="4"/>
      <c r="S356" s="5"/>
    </row>
    <row r="357" spans="3:19" x14ac:dyDescent="0.25">
      <c r="C357" s="4"/>
      <c r="E357" s="5"/>
      <c r="F357" s="5"/>
      <c r="H357" s="47"/>
      <c r="I357" s="47"/>
      <c r="O357" s="4"/>
      <c r="S357" s="5"/>
    </row>
    <row r="358" spans="3:19" x14ac:dyDescent="0.25">
      <c r="C358" s="4"/>
      <c r="E358" s="5"/>
      <c r="F358" s="5"/>
      <c r="H358" s="47"/>
      <c r="I358" s="47"/>
      <c r="O358" s="4"/>
      <c r="S358" s="5"/>
    </row>
    <row r="359" spans="3:19" x14ac:dyDescent="0.25">
      <c r="C359" s="4"/>
      <c r="E359" s="5"/>
      <c r="F359" s="5"/>
      <c r="H359" s="47"/>
      <c r="I359" s="47"/>
      <c r="O359" s="4"/>
      <c r="S359" s="5"/>
    </row>
    <row r="360" spans="3:19" x14ac:dyDescent="0.25">
      <c r="C360" s="4"/>
      <c r="E360" s="5"/>
      <c r="F360" s="5"/>
      <c r="H360" s="47"/>
      <c r="I360" s="47"/>
      <c r="O360" s="4"/>
      <c r="S360" s="5"/>
    </row>
    <row r="361" spans="3:19" x14ac:dyDescent="0.25">
      <c r="C361" s="4"/>
      <c r="E361" s="5"/>
      <c r="F361" s="5"/>
      <c r="H361" s="47"/>
      <c r="I361" s="47"/>
      <c r="O361" s="4"/>
      <c r="S361" s="5"/>
    </row>
    <row r="362" spans="3:19" x14ac:dyDescent="0.25">
      <c r="C362" s="4"/>
      <c r="E362" s="5"/>
      <c r="F362" s="5"/>
      <c r="H362" s="47"/>
      <c r="I362" s="47"/>
      <c r="O362" s="4"/>
      <c r="S362" s="5"/>
    </row>
    <row r="363" spans="3:19" x14ac:dyDescent="0.25">
      <c r="C363" s="4"/>
      <c r="E363" s="5"/>
      <c r="F363" s="5"/>
      <c r="H363" s="47"/>
      <c r="I363" s="47"/>
      <c r="O363" s="4"/>
      <c r="S363" s="5"/>
    </row>
    <row r="364" spans="3:19" x14ac:dyDescent="0.25">
      <c r="C364" s="4"/>
      <c r="E364" s="5"/>
      <c r="F364" s="5"/>
      <c r="H364" s="47"/>
      <c r="I364" s="47"/>
      <c r="O364" s="4"/>
      <c r="S364" s="5"/>
    </row>
    <row r="365" spans="3:19" x14ac:dyDescent="0.25">
      <c r="C365" s="4"/>
      <c r="E365" s="5"/>
      <c r="F365" s="5"/>
      <c r="H365" s="47"/>
      <c r="I365" s="47"/>
      <c r="O365" s="4"/>
      <c r="S365" s="5"/>
    </row>
    <row r="366" spans="3:19" x14ac:dyDescent="0.25">
      <c r="C366" s="4"/>
      <c r="E366" s="5"/>
      <c r="F366" s="5"/>
      <c r="H366" s="47"/>
      <c r="I366" s="47"/>
      <c r="O366" s="4"/>
      <c r="S366" s="5"/>
    </row>
    <row r="367" spans="3:19" x14ac:dyDescent="0.25">
      <c r="C367" s="4"/>
      <c r="E367" s="5"/>
      <c r="F367" s="5"/>
      <c r="H367" s="47"/>
      <c r="I367" s="47"/>
      <c r="O367" s="4"/>
      <c r="S367" s="5"/>
    </row>
    <row r="368" spans="3:19" x14ac:dyDescent="0.25">
      <c r="C368" s="4"/>
      <c r="E368" s="5"/>
      <c r="F368" s="5"/>
      <c r="H368" s="47"/>
      <c r="I368" s="47"/>
      <c r="O368" s="4"/>
      <c r="S368" s="5"/>
    </row>
    <row r="369" spans="3:19" x14ac:dyDescent="0.25">
      <c r="C369" s="4"/>
      <c r="E369" s="5"/>
      <c r="F369" s="5"/>
      <c r="H369" s="47"/>
      <c r="I369" s="47"/>
      <c r="O369" s="4"/>
      <c r="S369" s="5"/>
    </row>
    <row r="370" spans="3:19" x14ac:dyDescent="0.25">
      <c r="C370" s="4"/>
      <c r="E370" s="5"/>
      <c r="F370" s="5"/>
      <c r="H370" s="47"/>
      <c r="I370" s="47"/>
      <c r="O370" s="4"/>
      <c r="S370" s="5"/>
    </row>
    <row r="371" spans="3:19" x14ac:dyDescent="0.25">
      <c r="C371" s="4"/>
      <c r="E371" s="5"/>
      <c r="F371" s="5"/>
      <c r="H371" s="47"/>
      <c r="I371" s="47"/>
      <c r="O371" s="4"/>
      <c r="S371" s="5"/>
    </row>
    <row r="372" spans="3:19" x14ac:dyDescent="0.25">
      <c r="C372" s="4"/>
      <c r="E372" s="5"/>
      <c r="F372" s="5"/>
      <c r="H372" s="47"/>
      <c r="I372" s="47"/>
      <c r="O372" s="4"/>
      <c r="S372" s="5"/>
    </row>
    <row r="373" spans="3:19" x14ac:dyDescent="0.25">
      <c r="C373" s="4"/>
      <c r="E373" s="5"/>
      <c r="F373" s="5"/>
      <c r="H373" s="47"/>
      <c r="I373" s="47"/>
      <c r="O373" s="4"/>
      <c r="S373" s="5"/>
    </row>
    <row r="374" spans="3:19" x14ac:dyDescent="0.25">
      <c r="C374" s="4"/>
      <c r="E374" s="5"/>
      <c r="F374" s="5"/>
      <c r="H374" s="47"/>
      <c r="I374" s="47"/>
      <c r="O374" s="4"/>
      <c r="S374" s="5"/>
    </row>
    <row r="375" spans="3:19" x14ac:dyDescent="0.25">
      <c r="C375" s="4"/>
      <c r="E375" s="5"/>
      <c r="F375" s="5"/>
      <c r="H375" s="47"/>
      <c r="I375" s="47"/>
      <c r="O375" s="4"/>
      <c r="S375" s="5"/>
    </row>
    <row r="376" spans="3:19" x14ac:dyDescent="0.25">
      <c r="C376" s="4"/>
      <c r="E376" s="5"/>
      <c r="F376" s="5"/>
      <c r="H376" s="47"/>
      <c r="I376" s="47"/>
      <c r="O376" s="4"/>
      <c r="S376" s="5"/>
    </row>
    <row r="377" spans="3:19" x14ac:dyDescent="0.25">
      <c r="C377" s="4"/>
      <c r="E377" s="5"/>
      <c r="F377" s="5"/>
      <c r="H377" s="47"/>
      <c r="I377" s="47"/>
      <c r="O377" s="4"/>
      <c r="S377" s="5"/>
    </row>
    <row r="378" spans="3:19" x14ac:dyDescent="0.25">
      <c r="C378" s="4"/>
      <c r="E378" s="5"/>
      <c r="F378" s="5"/>
      <c r="H378" s="47"/>
      <c r="I378" s="47"/>
      <c r="O378" s="4"/>
      <c r="S378" s="5"/>
    </row>
    <row r="379" spans="3:19" x14ac:dyDescent="0.25">
      <c r="C379" s="4"/>
      <c r="E379" s="5"/>
      <c r="F379" s="5"/>
      <c r="H379" s="47"/>
      <c r="I379" s="47"/>
      <c r="O379" s="4"/>
      <c r="S379" s="5"/>
    </row>
    <row r="380" spans="3:19" x14ac:dyDescent="0.25">
      <c r="C380" s="4"/>
      <c r="E380" s="5"/>
      <c r="F380" s="5"/>
      <c r="H380" s="47"/>
      <c r="I380" s="47"/>
      <c r="O380" s="4"/>
      <c r="S380" s="5"/>
    </row>
    <row r="381" spans="3:19" x14ac:dyDescent="0.25">
      <c r="C381" s="4"/>
      <c r="E381" s="5"/>
      <c r="F381" s="5"/>
      <c r="H381" s="47"/>
      <c r="I381" s="47"/>
      <c r="O381" s="4"/>
      <c r="S381" s="5"/>
    </row>
    <row r="382" spans="3:19" x14ac:dyDescent="0.25">
      <c r="C382" s="4"/>
      <c r="E382" s="5"/>
      <c r="F382" s="5"/>
      <c r="H382" s="47"/>
      <c r="I382" s="47"/>
      <c r="O382" s="4"/>
      <c r="S382" s="5"/>
    </row>
    <row r="383" spans="3:19" x14ac:dyDescent="0.25">
      <c r="C383" s="4"/>
      <c r="E383" s="5"/>
      <c r="F383" s="5"/>
      <c r="H383" s="47"/>
      <c r="I383" s="47"/>
      <c r="O383" s="4"/>
      <c r="S383" s="5"/>
    </row>
    <row r="384" spans="3:19" x14ac:dyDescent="0.25">
      <c r="C384" s="4"/>
      <c r="E384" s="5"/>
      <c r="F384" s="5"/>
      <c r="H384" s="47"/>
      <c r="I384" s="47"/>
      <c r="O384" s="4"/>
      <c r="S384" s="5"/>
    </row>
    <row r="385" spans="3:19" x14ac:dyDescent="0.25">
      <c r="C385" s="4"/>
      <c r="E385" s="5"/>
      <c r="F385" s="5"/>
      <c r="H385" s="47"/>
      <c r="I385" s="47"/>
      <c r="O385" s="4"/>
      <c r="S385" s="5"/>
    </row>
    <row r="386" spans="3:19" x14ac:dyDescent="0.25">
      <c r="C386" s="4"/>
      <c r="E386" s="5"/>
      <c r="F386" s="5"/>
      <c r="H386" s="47"/>
      <c r="I386" s="47"/>
      <c r="O386" s="4"/>
      <c r="S386" s="5"/>
    </row>
    <row r="387" spans="3:19" x14ac:dyDescent="0.25">
      <c r="C387" s="4"/>
      <c r="E387" s="5"/>
      <c r="F387" s="5"/>
      <c r="H387" s="47"/>
      <c r="I387" s="47"/>
      <c r="O387" s="4"/>
      <c r="S387" s="5"/>
    </row>
    <row r="388" spans="3:19" x14ac:dyDescent="0.25">
      <c r="C388" s="4"/>
      <c r="E388" s="5"/>
      <c r="F388" s="5"/>
      <c r="H388" s="47"/>
      <c r="I388" s="47"/>
      <c r="O388" s="4"/>
      <c r="S388" s="5"/>
    </row>
    <row r="389" spans="3:19" x14ac:dyDescent="0.25">
      <c r="C389" s="4"/>
      <c r="E389" s="5"/>
      <c r="F389" s="5"/>
      <c r="H389" s="47"/>
      <c r="I389" s="47"/>
      <c r="O389" s="4"/>
      <c r="S389" s="5"/>
    </row>
    <row r="390" spans="3:19" x14ac:dyDescent="0.25">
      <c r="C390" s="4"/>
      <c r="E390" s="5"/>
      <c r="F390" s="5"/>
      <c r="H390" s="47"/>
      <c r="I390" s="47"/>
      <c r="O390" s="4"/>
      <c r="S390" s="5"/>
    </row>
    <row r="391" spans="3:19" x14ac:dyDescent="0.25">
      <c r="C391" s="4"/>
      <c r="E391" s="5"/>
      <c r="F391" s="5"/>
      <c r="H391" s="47"/>
      <c r="I391" s="47"/>
      <c r="O391" s="4"/>
      <c r="S391" s="5"/>
    </row>
    <row r="392" spans="3:19" x14ac:dyDescent="0.25">
      <c r="C392" s="4"/>
      <c r="E392" s="5"/>
      <c r="F392" s="5"/>
      <c r="H392" s="47"/>
      <c r="I392" s="47"/>
      <c r="O392" s="4"/>
      <c r="S392" s="5"/>
    </row>
    <row r="393" spans="3:19" x14ac:dyDescent="0.25">
      <c r="C393" s="4"/>
      <c r="E393" s="5"/>
      <c r="F393" s="5"/>
      <c r="H393" s="47"/>
      <c r="I393" s="47"/>
      <c r="O393" s="4"/>
      <c r="S393" s="5"/>
    </row>
    <row r="394" spans="3:19" x14ac:dyDescent="0.25">
      <c r="C394" s="4"/>
      <c r="E394" s="5"/>
      <c r="F394" s="5"/>
      <c r="H394" s="47"/>
      <c r="I394" s="47"/>
      <c r="O394" s="4"/>
      <c r="S394" s="5"/>
    </row>
    <row r="395" spans="3:19" x14ac:dyDescent="0.25">
      <c r="C395" s="4"/>
      <c r="E395" s="5"/>
      <c r="F395" s="5"/>
      <c r="H395" s="47"/>
      <c r="I395" s="47"/>
      <c r="O395" s="4"/>
      <c r="S395" s="5"/>
    </row>
    <row r="396" spans="3:19" x14ac:dyDescent="0.25">
      <c r="C396" s="4"/>
      <c r="E396" s="5"/>
      <c r="F396" s="5"/>
      <c r="H396" s="47"/>
      <c r="I396" s="47"/>
      <c r="O396" s="4"/>
      <c r="S396" s="5"/>
    </row>
    <row r="397" spans="3:19" x14ac:dyDescent="0.25">
      <c r="C397" s="4"/>
      <c r="E397" s="5"/>
      <c r="F397" s="5"/>
      <c r="H397" s="47"/>
      <c r="I397" s="47"/>
      <c r="O397" s="4"/>
      <c r="S397" s="5"/>
    </row>
    <row r="398" spans="3:19" x14ac:dyDescent="0.25">
      <c r="C398" s="4"/>
      <c r="E398" s="5"/>
      <c r="F398" s="5"/>
      <c r="H398" s="47"/>
      <c r="I398" s="47"/>
      <c r="O398" s="4"/>
      <c r="S398" s="5"/>
    </row>
    <row r="399" spans="3:19" x14ac:dyDescent="0.25">
      <c r="C399" s="4"/>
      <c r="E399" s="5"/>
      <c r="F399" s="5"/>
      <c r="H399" s="47"/>
      <c r="I399" s="47"/>
      <c r="O399" s="4"/>
      <c r="S399" s="5"/>
    </row>
    <row r="400" spans="3:19" x14ac:dyDescent="0.25">
      <c r="C400" s="4"/>
      <c r="E400" s="5"/>
      <c r="F400" s="5"/>
      <c r="H400" s="47"/>
      <c r="I400" s="47"/>
      <c r="O400" s="4"/>
      <c r="S400" s="5"/>
    </row>
    <row r="401" spans="3:19" x14ac:dyDescent="0.25">
      <c r="C401" s="4"/>
      <c r="E401" s="5"/>
      <c r="F401" s="5"/>
      <c r="H401" s="47"/>
      <c r="I401" s="47"/>
      <c r="O401" s="4"/>
      <c r="S401" s="5"/>
    </row>
    <row r="402" spans="3:19" x14ac:dyDescent="0.25">
      <c r="C402" s="4"/>
      <c r="E402" s="5"/>
      <c r="F402" s="5"/>
      <c r="H402" s="47"/>
      <c r="I402" s="47"/>
      <c r="O402" s="4"/>
      <c r="S402" s="5"/>
    </row>
    <row r="403" spans="3:19" x14ac:dyDescent="0.25">
      <c r="C403" s="4"/>
      <c r="E403" s="5"/>
      <c r="F403" s="5"/>
      <c r="H403" s="47"/>
      <c r="I403" s="47"/>
      <c r="O403" s="4"/>
      <c r="S403" s="5"/>
    </row>
    <row r="404" spans="3:19" x14ac:dyDescent="0.25">
      <c r="C404" s="4"/>
      <c r="E404" s="5"/>
      <c r="F404" s="5"/>
      <c r="H404" s="47"/>
      <c r="I404" s="47"/>
      <c r="O404" s="4"/>
      <c r="S404" s="5"/>
    </row>
    <row r="405" spans="3:19" x14ac:dyDescent="0.25">
      <c r="C405" s="4"/>
      <c r="E405" s="5"/>
      <c r="F405" s="5"/>
      <c r="H405" s="47"/>
      <c r="I405" s="47"/>
      <c r="O405" s="4"/>
      <c r="S405" s="5"/>
    </row>
    <row r="406" spans="3:19" x14ac:dyDescent="0.25">
      <c r="C406" s="4"/>
      <c r="E406" s="5"/>
      <c r="F406" s="5"/>
      <c r="H406" s="47"/>
      <c r="I406" s="47"/>
      <c r="O406" s="4"/>
      <c r="S406" s="5"/>
    </row>
    <row r="407" spans="3:19" x14ac:dyDescent="0.25">
      <c r="C407" s="4"/>
      <c r="E407" s="5"/>
      <c r="F407" s="5"/>
      <c r="H407" s="47"/>
      <c r="I407" s="47"/>
      <c r="O407" s="4"/>
      <c r="S407" s="5"/>
    </row>
    <row r="408" spans="3:19" x14ac:dyDescent="0.25">
      <c r="C408" s="4"/>
      <c r="E408" s="5"/>
      <c r="F408" s="5"/>
      <c r="H408" s="47"/>
      <c r="I408" s="47"/>
      <c r="O408" s="4"/>
      <c r="S408" s="5"/>
    </row>
    <row r="409" spans="3:19" x14ac:dyDescent="0.25">
      <c r="C409" s="4"/>
      <c r="E409" s="5"/>
      <c r="F409" s="5"/>
      <c r="H409" s="47"/>
      <c r="I409" s="47"/>
      <c r="O409" s="4"/>
      <c r="S409" s="5"/>
    </row>
    <row r="410" spans="3:19" x14ac:dyDescent="0.25">
      <c r="C410" s="4"/>
      <c r="E410" s="5"/>
      <c r="F410" s="5"/>
      <c r="H410" s="47"/>
      <c r="I410" s="47"/>
      <c r="O410" s="4"/>
      <c r="S410" s="5"/>
    </row>
    <row r="411" spans="3:19" x14ac:dyDescent="0.25">
      <c r="C411" s="4"/>
      <c r="E411" s="5"/>
      <c r="F411" s="5"/>
      <c r="H411" s="47"/>
      <c r="I411" s="47"/>
      <c r="O411" s="4"/>
      <c r="S411" s="5"/>
    </row>
    <row r="412" spans="3:19" x14ac:dyDescent="0.25">
      <c r="C412" s="4"/>
      <c r="E412" s="5"/>
      <c r="F412" s="5"/>
      <c r="H412" s="47"/>
      <c r="I412" s="47"/>
      <c r="O412" s="4"/>
      <c r="S412" s="5"/>
    </row>
    <row r="413" spans="3:19" x14ac:dyDescent="0.25">
      <c r="C413" s="4"/>
      <c r="E413" s="5"/>
      <c r="F413" s="5"/>
      <c r="H413" s="47"/>
      <c r="I413" s="47"/>
      <c r="O413" s="4"/>
      <c r="S413" s="5"/>
    </row>
    <row r="414" spans="3:19" x14ac:dyDescent="0.25">
      <c r="C414" s="4"/>
      <c r="E414" s="5"/>
      <c r="F414" s="5"/>
      <c r="H414" s="47"/>
      <c r="I414" s="47"/>
      <c r="O414" s="4"/>
      <c r="S414" s="5"/>
    </row>
    <row r="415" spans="3:19" x14ac:dyDescent="0.25">
      <c r="C415" s="4"/>
      <c r="E415" s="5"/>
      <c r="F415" s="5"/>
      <c r="H415" s="47"/>
      <c r="I415" s="47"/>
      <c r="O415" s="4"/>
      <c r="S415" s="5"/>
    </row>
    <row r="416" spans="3:19" x14ac:dyDescent="0.25">
      <c r="C416" s="4"/>
      <c r="E416" s="5"/>
      <c r="F416" s="5"/>
      <c r="H416" s="47"/>
      <c r="I416" s="47"/>
      <c r="O416" s="4"/>
      <c r="S416" s="5"/>
    </row>
    <row r="417" spans="3:19" x14ac:dyDescent="0.25">
      <c r="C417" s="4"/>
      <c r="E417" s="5"/>
      <c r="F417" s="5"/>
      <c r="H417" s="47"/>
      <c r="I417" s="47"/>
      <c r="O417" s="4"/>
      <c r="S417" s="5"/>
    </row>
    <row r="418" spans="3:19" x14ac:dyDescent="0.25">
      <c r="C418" s="4"/>
      <c r="E418" s="5"/>
      <c r="F418" s="5"/>
      <c r="H418" s="47"/>
      <c r="I418" s="47"/>
      <c r="O418" s="4"/>
      <c r="S418" s="5"/>
    </row>
    <row r="419" spans="3:19" x14ac:dyDescent="0.25">
      <c r="C419" s="4"/>
      <c r="E419" s="5"/>
      <c r="F419" s="5"/>
      <c r="H419" s="47"/>
      <c r="I419" s="47"/>
      <c r="O419" s="4"/>
      <c r="S419" s="5"/>
    </row>
    <row r="420" spans="3:19" x14ac:dyDescent="0.25">
      <c r="C420" s="4"/>
      <c r="E420" s="5"/>
      <c r="F420" s="5"/>
      <c r="H420" s="47"/>
      <c r="I420" s="47"/>
      <c r="O420" s="4"/>
      <c r="S420" s="5"/>
    </row>
    <row r="421" spans="3:19" x14ac:dyDescent="0.25">
      <c r="C421" s="4"/>
      <c r="E421" s="5"/>
      <c r="F421" s="5"/>
      <c r="H421" s="47"/>
      <c r="I421" s="47"/>
      <c r="O421" s="4"/>
      <c r="S421" s="5"/>
    </row>
    <row r="422" spans="3:19" x14ac:dyDescent="0.25">
      <c r="C422" s="4"/>
      <c r="E422" s="5"/>
      <c r="F422" s="5"/>
      <c r="H422" s="47"/>
      <c r="I422" s="47"/>
      <c r="O422" s="4"/>
      <c r="S422" s="5"/>
    </row>
    <row r="423" spans="3:19" x14ac:dyDescent="0.25">
      <c r="C423" s="4"/>
      <c r="E423" s="5"/>
      <c r="F423" s="5"/>
      <c r="H423" s="47"/>
      <c r="I423" s="47"/>
      <c r="O423" s="4"/>
      <c r="S423" s="5"/>
    </row>
    <row r="424" spans="3:19" x14ac:dyDescent="0.25">
      <c r="C424" s="4"/>
      <c r="E424" s="5"/>
      <c r="F424" s="5"/>
      <c r="H424" s="47"/>
      <c r="I424" s="47"/>
      <c r="O424" s="4"/>
      <c r="S424" s="5"/>
    </row>
    <row r="425" spans="3:19" x14ac:dyDescent="0.25">
      <c r="C425" s="4"/>
      <c r="E425" s="5"/>
      <c r="F425" s="5"/>
      <c r="H425" s="47"/>
      <c r="I425" s="47"/>
      <c r="O425" s="4"/>
      <c r="S425" s="5"/>
    </row>
    <row r="426" spans="3:19" x14ac:dyDescent="0.25">
      <c r="C426" s="4"/>
      <c r="E426" s="5"/>
      <c r="F426" s="5"/>
      <c r="H426" s="47"/>
      <c r="I426" s="47"/>
      <c r="O426" s="4"/>
      <c r="S426" s="5"/>
    </row>
    <row r="427" spans="3:19" x14ac:dyDescent="0.25">
      <c r="C427" s="4"/>
      <c r="E427" s="5"/>
      <c r="F427" s="5"/>
      <c r="H427" s="47"/>
      <c r="I427" s="47"/>
      <c r="O427" s="4"/>
      <c r="S427" s="5"/>
    </row>
    <row r="428" spans="3:19" x14ac:dyDescent="0.25">
      <c r="C428" s="4"/>
      <c r="E428" s="5"/>
      <c r="F428" s="5"/>
      <c r="H428" s="47"/>
      <c r="I428" s="47"/>
      <c r="O428" s="4"/>
      <c r="S428" s="5"/>
    </row>
    <row r="429" spans="3:19" x14ac:dyDescent="0.25">
      <c r="C429" s="4"/>
      <c r="E429" s="5"/>
      <c r="F429" s="5"/>
      <c r="H429" s="47"/>
      <c r="I429" s="47"/>
      <c r="O429" s="4"/>
      <c r="S429" s="5"/>
    </row>
    <row r="430" spans="3:19" x14ac:dyDescent="0.25">
      <c r="C430" s="4"/>
      <c r="E430" s="5"/>
      <c r="F430" s="5"/>
      <c r="H430" s="47"/>
      <c r="I430" s="47"/>
      <c r="O430" s="4"/>
      <c r="S430" s="5"/>
    </row>
    <row r="431" spans="3:19" x14ac:dyDescent="0.25">
      <c r="C431" s="4"/>
      <c r="E431" s="5"/>
      <c r="F431" s="5"/>
      <c r="H431" s="47"/>
      <c r="I431" s="47"/>
      <c r="O431" s="4"/>
      <c r="S431" s="5"/>
    </row>
    <row r="432" spans="3:19" x14ac:dyDescent="0.25">
      <c r="C432" s="4"/>
      <c r="E432" s="5"/>
      <c r="F432" s="5"/>
      <c r="H432" s="47"/>
      <c r="I432" s="47"/>
      <c r="O432" s="4"/>
      <c r="S432" s="5"/>
    </row>
    <row r="433" spans="3:19" x14ac:dyDescent="0.25">
      <c r="C433" s="4"/>
      <c r="E433" s="5"/>
      <c r="F433" s="5"/>
      <c r="H433" s="47"/>
      <c r="I433" s="47"/>
      <c r="O433" s="4"/>
      <c r="S433" s="5"/>
    </row>
    <row r="434" spans="3:19" x14ac:dyDescent="0.25">
      <c r="C434" s="4"/>
      <c r="E434" s="5"/>
      <c r="F434" s="5"/>
      <c r="H434" s="47"/>
      <c r="I434" s="47"/>
      <c r="O434" s="4"/>
      <c r="S434" s="5"/>
    </row>
    <row r="435" spans="3:19" x14ac:dyDescent="0.25">
      <c r="C435" s="4"/>
      <c r="E435" s="5"/>
      <c r="F435" s="5"/>
      <c r="H435" s="47"/>
      <c r="I435" s="47"/>
      <c r="O435" s="4"/>
      <c r="S435" s="5"/>
    </row>
    <row r="436" spans="3:19" x14ac:dyDescent="0.25">
      <c r="C436" s="4"/>
      <c r="E436" s="5"/>
      <c r="F436" s="5"/>
      <c r="H436" s="47"/>
      <c r="I436" s="47"/>
      <c r="O436" s="4"/>
      <c r="S436" s="5"/>
    </row>
    <row r="437" spans="3:19" x14ac:dyDescent="0.25">
      <c r="C437" s="4"/>
      <c r="E437" s="5"/>
      <c r="F437" s="5"/>
      <c r="H437" s="47"/>
      <c r="I437" s="47"/>
      <c r="O437" s="4"/>
      <c r="S437" s="5"/>
    </row>
    <row r="438" spans="3:19" x14ac:dyDescent="0.25">
      <c r="C438" s="4"/>
      <c r="E438" s="5"/>
      <c r="F438" s="5"/>
      <c r="H438" s="47"/>
      <c r="I438" s="47"/>
      <c r="O438" s="4"/>
      <c r="S438" s="5"/>
    </row>
    <row r="439" spans="3:19" x14ac:dyDescent="0.25">
      <c r="C439" s="4"/>
      <c r="E439" s="5"/>
      <c r="F439" s="5"/>
      <c r="H439" s="47"/>
      <c r="I439" s="47"/>
      <c r="O439" s="4"/>
      <c r="S439" s="5"/>
    </row>
    <row r="440" spans="3:19" x14ac:dyDescent="0.25">
      <c r="C440" s="4"/>
      <c r="E440" s="5"/>
      <c r="F440" s="5"/>
      <c r="H440" s="47"/>
      <c r="I440" s="47"/>
      <c r="O440" s="4"/>
      <c r="S440" s="5"/>
    </row>
    <row r="441" spans="3:19" x14ac:dyDescent="0.25">
      <c r="C441" s="4"/>
      <c r="E441" s="5"/>
      <c r="F441" s="5"/>
      <c r="H441" s="47"/>
      <c r="I441" s="47"/>
      <c r="O441" s="4"/>
      <c r="S441" s="5"/>
    </row>
    <row r="442" spans="3:19" x14ac:dyDescent="0.25">
      <c r="C442" s="4"/>
      <c r="E442" s="5"/>
      <c r="F442" s="5"/>
      <c r="H442" s="47"/>
      <c r="I442" s="47"/>
      <c r="O442" s="4"/>
      <c r="S442" s="5"/>
    </row>
    <row r="443" spans="3:19" x14ac:dyDescent="0.25">
      <c r="C443" s="4"/>
      <c r="E443" s="5"/>
      <c r="F443" s="5"/>
      <c r="H443" s="47"/>
      <c r="I443" s="47"/>
      <c r="O443" s="4"/>
      <c r="S443" s="5"/>
    </row>
    <row r="444" spans="3:19" x14ac:dyDescent="0.25">
      <c r="C444" s="4"/>
      <c r="E444" s="5"/>
      <c r="F444" s="5"/>
      <c r="H444" s="47"/>
      <c r="I444" s="47"/>
      <c r="O444" s="4"/>
      <c r="S444" s="5"/>
    </row>
    <row r="445" spans="3:19" x14ac:dyDescent="0.25">
      <c r="C445" s="4"/>
      <c r="E445" s="5"/>
      <c r="F445" s="5"/>
      <c r="H445" s="47"/>
      <c r="I445" s="47"/>
      <c r="O445" s="4"/>
      <c r="S445" s="5"/>
    </row>
    <row r="446" spans="3:19" x14ac:dyDescent="0.25">
      <c r="C446" s="4"/>
      <c r="E446" s="5"/>
      <c r="F446" s="5"/>
      <c r="H446" s="47"/>
      <c r="I446" s="47"/>
      <c r="O446" s="4"/>
      <c r="S446" s="5"/>
    </row>
    <row r="447" spans="3:19" x14ac:dyDescent="0.25">
      <c r="C447" s="4"/>
      <c r="E447" s="5"/>
      <c r="F447" s="5"/>
      <c r="H447" s="47"/>
      <c r="I447" s="47"/>
      <c r="O447" s="4"/>
      <c r="S447" s="5"/>
    </row>
    <row r="448" spans="3:19" x14ac:dyDescent="0.25">
      <c r="C448" s="4"/>
      <c r="E448" s="5"/>
      <c r="F448" s="5"/>
      <c r="H448" s="47"/>
      <c r="I448" s="47"/>
      <c r="O448" s="4"/>
      <c r="S448" s="5"/>
    </row>
    <row r="449" spans="3:19" x14ac:dyDescent="0.25">
      <c r="C449" s="4"/>
      <c r="E449" s="5"/>
      <c r="F449" s="5"/>
      <c r="H449" s="47"/>
      <c r="I449" s="47"/>
      <c r="O449" s="4"/>
      <c r="S449" s="5"/>
    </row>
    <row r="450" spans="3:19" x14ac:dyDescent="0.25">
      <c r="C450" s="4"/>
      <c r="E450" s="5"/>
      <c r="F450" s="5"/>
      <c r="H450" s="47"/>
      <c r="I450" s="47"/>
      <c r="O450" s="4"/>
      <c r="S450" s="5"/>
    </row>
    <row r="451" spans="3:19" x14ac:dyDescent="0.25">
      <c r="C451" s="4"/>
      <c r="E451" s="5"/>
      <c r="F451" s="5"/>
      <c r="H451" s="47"/>
      <c r="I451" s="47"/>
      <c r="O451" s="4"/>
      <c r="S451" s="5"/>
    </row>
    <row r="452" spans="3:19" x14ac:dyDescent="0.25">
      <c r="C452" s="4"/>
      <c r="E452" s="5"/>
      <c r="F452" s="5"/>
      <c r="H452" s="47"/>
      <c r="I452" s="47"/>
      <c r="O452" s="4"/>
      <c r="S452" s="5"/>
    </row>
    <row r="453" spans="3:19" x14ac:dyDescent="0.25">
      <c r="C453" s="4"/>
      <c r="E453" s="5"/>
      <c r="F453" s="5"/>
      <c r="H453" s="47"/>
      <c r="I453" s="47"/>
      <c r="O453" s="4"/>
      <c r="S453" s="5"/>
    </row>
    <row r="454" spans="3:19" x14ac:dyDescent="0.25">
      <c r="C454" s="4"/>
      <c r="E454" s="5"/>
      <c r="F454" s="5"/>
      <c r="H454" s="47"/>
      <c r="I454" s="47"/>
      <c r="O454" s="4"/>
      <c r="S454" s="5"/>
    </row>
    <row r="455" spans="3:19" x14ac:dyDescent="0.25">
      <c r="C455" s="4"/>
      <c r="E455" s="5"/>
      <c r="F455" s="5"/>
      <c r="H455" s="47"/>
      <c r="I455" s="47"/>
      <c r="O455" s="4"/>
      <c r="S455" s="5"/>
    </row>
    <row r="456" spans="3:19" x14ac:dyDescent="0.25">
      <c r="C456" s="4"/>
      <c r="E456" s="5"/>
      <c r="F456" s="5"/>
      <c r="H456" s="47"/>
      <c r="I456" s="47"/>
      <c r="O456" s="4"/>
      <c r="S456" s="5"/>
    </row>
    <row r="457" spans="3:19" x14ac:dyDescent="0.25">
      <c r="C457" s="4"/>
      <c r="E457" s="5"/>
      <c r="F457" s="5"/>
      <c r="H457" s="47"/>
      <c r="I457" s="47"/>
      <c r="O457" s="4"/>
      <c r="S457" s="5"/>
    </row>
    <row r="458" spans="3:19" x14ac:dyDescent="0.25">
      <c r="C458" s="4"/>
      <c r="E458" s="5"/>
      <c r="F458" s="5"/>
      <c r="H458" s="47"/>
      <c r="I458" s="47"/>
      <c r="O458" s="4"/>
      <c r="S458" s="5"/>
    </row>
    <row r="459" spans="3:19" x14ac:dyDescent="0.25">
      <c r="C459" s="4"/>
      <c r="E459" s="5"/>
      <c r="F459" s="5"/>
      <c r="H459" s="47"/>
      <c r="I459" s="47"/>
      <c r="O459" s="4"/>
      <c r="S459" s="5"/>
    </row>
    <row r="460" spans="3:19" x14ac:dyDescent="0.25">
      <c r="C460" s="4"/>
      <c r="E460" s="5"/>
      <c r="F460" s="5"/>
      <c r="H460" s="47"/>
      <c r="I460" s="47"/>
      <c r="O460" s="4"/>
      <c r="S460" s="5"/>
    </row>
    <row r="461" spans="3:19" x14ac:dyDescent="0.25">
      <c r="C461" s="4"/>
      <c r="E461" s="5"/>
      <c r="F461" s="5"/>
      <c r="H461" s="47"/>
      <c r="I461" s="47"/>
      <c r="O461" s="4"/>
      <c r="S461" s="5"/>
    </row>
    <row r="462" spans="3:19" x14ac:dyDescent="0.25">
      <c r="C462" s="4"/>
      <c r="E462" s="5"/>
      <c r="F462" s="5"/>
      <c r="H462" s="47"/>
      <c r="I462" s="47"/>
      <c r="O462" s="4"/>
      <c r="S462" s="5"/>
    </row>
    <row r="463" spans="3:19" x14ac:dyDescent="0.25">
      <c r="C463" s="4"/>
      <c r="E463" s="5"/>
      <c r="F463" s="5"/>
      <c r="H463" s="47"/>
      <c r="I463" s="47"/>
      <c r="O463" s="4"/>
      <c r="S463" s="5"/>
    </row>
    <row r="464" spans="3:19" x14ac:dyDescent="0.25">
      <c r="C464" s="4"/>
      <c r="E464" s="5"/>
      <c r="F464" s="5"/>
      <c r="H464" s="47"/>
      <c r="I464" s="47"/>
      <c r="O464" s="4"/>
      <c r="S464" s="5"/>
    </row>
    <row r="465" spans="3:19" x14ac:dyDescent="0.25">
      <c r="C465" s="4"/>
      <c r="E465" s="5"/>
      <c r="F465" s="5"/>
      <c r="H465" s="47"/>
      <c r="I465" s="47"/>
      <c r="O465" s="4"/>
      <c r="S465" s="5"/>
    </row>
    <row r="466" spans="3:19" x14ac:dyDescent="0.25">
      <c r="C466" s="4"/>
      <c r="E466" s="5"/>
      <c r="F466" s="5"/>
      <c r="H466" s="47"/>
      <c r="I466" s="47"/>
      <c r="O466" s="4"/>
      <c r="S466" s="5"/>
    </row>
    <row r="467" spans="3:19" x14ac:dyDescent="0.25">
      <c r="C467" s="4"/>
      <c r="E467" s="5"/>
      <c r="F467" s="5"/>
      <c r="H467" s="47"/>
      <c r="I467" s="47"/>
      <c r="O467" s="4"/>
      <c r="S467" s="5"/>
    </row>
    <row r="468" spans="3:19" x14ac:dyDescent="0.25">
      <c r="C468" s="4"/>
      <c r="E468" s="5"/>
      <c r="F468" s="5"/>
      <c r="H468" s="47"/>
      <c r="I468" s="47"/>
      <c r="O468" s="4"/>
      <c r="S468" s="5"/>
    </row>
    <row r="469" spans="3:19" x14ac:dyDescent="0.25">
      <c r="C469" s="4"/>
      <c r="E469" s="5"/>
      <c r="F469" s="5"/>
      <c r="H469" s="47"/>
      <c r="I469" s="47"/>
      <c r="O469" s="4"/>
      <c r="S469" s="5"/>
    </row>
    <row r="470" spans="3:19" x14ac:dyDescent="0.25">
      <c r="C470" s="4"/>
      <c r="E470" s="5"/>
      <c r="F470" s="5"/>
      <c r="H470" s="47"/>
      <c r="I470" s="47"/>
      <c r="O470" s="4"/>
      <c r="S470" s="5"/>
    </row>
    <row r="471" spans="3:19" x14ac:dyDescent="0.25">
      <c r="C471" s="4"/>
      <c r="E471" s="5"/>
      <c r="F471" s="5"/>
      <c r="H471" s="47"/>
      <c r="I471" s="47"/>
      <c r="O471" s="4"/>
      <c r="S471" s="5"/>
    </row>
    <row r="472" spans="3:19" x14ac:dyDescent="0.25">
      <c r="C472" s="4"/>
      <c r="E472" s="5"/>
      <c r="F472" s="5"/>
      <c r="H472" s="47"/>
      <c r="I472" s="47"/>
      <c r="O472" s="4"/>
      <c r="S472" s="5"/>
    </row>
    <row r="473" spans="3:19" x14ac:dyDescent="0.25">
      <c r="C473" s="4"/>
      <c r="E473" s="5"/>
      <c r="F473" s="5"/>
      <c r="H473" s="47"/>
      <c r="I473" s="47"/>
      <c r="O473" s="4"/>
      <c r="S473" s="5"/>
    </row>
    <row r="474" spans="3:19" x14ac:dyDescent="0.25">
      <c r="C474" s="4"/>
      <c r="E474" s="5"/>
      <c r="F474" s="5"/>
      <c r="H474" s="47"/>
      <c r="I474" s="47"/>
      <c r="O474" s="4"/>
      <c r="S474" s="5"/>
    </row>
    <row r="475" spans="3:19" x14ac:dyDescent="0.25">
      <c r="C475" s="4"/>
      <c r="E475" s="5"/>
      <c r="F475" s="5"/>
      <c r="H475" s="47"/>
      <c r="I475" s="47"/>
      <c r="O475" s="4"/>
      <c r="S475" s="5"/>
    </row>
    <row r="476" spans="3:19" x14ac:dyDescent="0.25">
      <c r="C476" s="4"/>
      <c r="E476" s="5"/>
      <c r="F476" s="5"/>
      <c r="H476" s="47"/>
      <c r="I476" s="47"/>
      <c r="O476" s="4"/>
      <c r="S476" s="5"/>
    </row>
    <row r="477" spans="3:19" x14ac:dyDescent="0.25">
      <c r="C477" s="4"/>
      <c r="E477" s="5"/>
      <c r="F477" s="5"/>
      <c r="H477" s="47"/>
      <c r="I477" s="47"/>
      <c r="O477" s="4"/>
      <c r="S477" s="5"/>
    </row>
    <row r="478" spans="3:19" x14ac:dyDescent="0.25">
      <c r="C478" s="4"/>
      <c r="E478" s="5"/>
      <c r="F478" s="5"/>
      <c r="H478" s="47"/>
      <c r="I478" s="47"/>
      <c r="O478" s="4"/>
      <c r="S478" s="5"/>
    </row>
    <row r="479" spans="3:19" x14ac:dyDescent="0.25">
      <c r="C479" s="4"/>
      <c r="E479" s="5"/>
      <c r="F479" s="5"/>
      <c r="H479" s="47"/>
      <c r="I479" s="47"/>
      <c r="O479" s="4"/>
      <c r="S479" s="5"/>
    </row>
    <row r="480" spans="3:19" x14ac:dyDescent="0.25">
      <c r="C480" s="4"/>
      <c r="E480" s="5"/>
      <c r="F480" s="5"/>
      <c r="H480" s="47"/>
      <c r="I480" s="47"/>
      <c r="O480" s="4"/>
      <c r="S480" s="5"/>
    </row>
    <row r="481" spans="3:19" x14ac:dyDescent="0.25">
      <c r="C481" s="4"/>
      <c r="E481" s="5"/>
      <c r="F481" s="5"/>
      <c r="H481" s="47"/>
      <c r="I481" s="47"/>
      <c r="O481" s="4"/>
      <c r="S481" s="5"/>
    </row>
    <row r="482" spans="3:19" x14ac:dyDescent="0.25">
      <c r="C482" s="4"/>
      <c r="E482" s="5"/>
      <c r="F482" s="5"/>
      <c r="H482" s="47"/>
      <c r="I482" s="47"/>
      <c r="O482" s="4"/>
      <c r="S482" s="5"/>
    </row>
    <row r="483" spans="3:19" x14ac:dyDescent="0.25">
      <c r="C483" s="4"/>
      <c r="E483" s="5"/>
      <c r="F483" s="5"/>
      <c r="H483" s="47"/>
      <c r="I483" s="47"/>
      <c r="O483" s="4"/>
      <c r="S483" s="5"/>
    </row>
    <row r="484" spans="3:19" x14ac:dyDescent="0.25">
      <c r="C484" s="4"/>
      <c r="E484" s="5"/>
      <c r="F484" s="5"/>
      <c r="H484" s="47"/>
      <c r="I484" s="47"/>
      <c r="O484" s="4"/>
      <c r="S484" s="5"/>
    </row>
    <row r="485" spans="3:19" x14ac:dyDescent="0.25">
      <c r="C485" s="4"/>
      <c r="E485" s="5"/>
      <c r="F485" s="5"/>
      <c r="H485" s="47"/>
      <c r="I485" s="47"/>
      <c r="O485" s="4"/>
      <c r="S485" s="5"/>
    </row>
    <row r="486" spans="3:19" x14ac:dyDescent="0.25">
      <c r="C486" s="4"/>
      <c r="E486" s="5"/>
      <c r="F486" s="5"/>
      <c r="H486" s="47"/>
      <c r="I486" s="47"/>
      <c r="O486" s="4"/>
      <c r="S486" s="5"/>
    </row>
    <row r="487" spans="3:19" x14ac:dyDescent="0.25">
      <c r="C487" s="4"/>
      <c r="E487" s="5"/>
      <c r="F487" s="5"/>
      <c r="H487" s="47"/>
      <c r="I487" s="47"/>
      <c r="O487" s="4"/>
      <c r="S487" s="5"/>
    </row>
    <row r="488" spans="3:19" x14ac:dyDescent="0.25">
      <c r="C488" s="4"/>
      <c r="E488" s="5"/>
      <c r="F488" s="5"/>
      <c r="H488" s="47"/>
      <c r="I488" s="47"/>
      <c r="O488" s="4"/>
      <c r="S488" s="5"/>
    </row>
    <row r="489" spans="3:19" x14ac:dyDescent="0.25">
      <c r="C489" s="4"/>
      <c r="E489" s="5"/>
      <c r="F489" s="5"/>
      <c r="H489" s="47"/>
      <c r="I489" s="47"/>
      <c r="O489" s="4"/>
      <c r="S489" s="5"/>
    </row>
    <row r="490" spans="3:19" x14ac:dyDescent="0.25">
      <c r="C490" s="4"/>
      <c r="E490" s="5"/>
      <c r="F490" s="5"/>
      <c r="H490" s="47"/>
      <c r="I490" s="47"/>
      <c r="O490" s="4"/>
      <c r="S490" s="5"/>
    </row>
    <row r="491" spans="3:19" x14ac:dyDescent="0.25">
      <c r="C491" s="4"/>
      <c r="E491" s="5"/>
      <c r="F491" s="5"/>
      <c r="H491" s="47"/>
      <c r="I491" s="47"/>
      <c r="O491" s="4"/>
      <c r="S491" s="5"/>
    </row>
    <row r="492" spans="3:19" x14ac:dyDescent="0.25">
      <c r="C492" s="4"/>
      <c r="E492" s="5"/>
      <c r="F492" s="5"/>
      <c r="H492" s="47"/>
      <c r="I492" s="47"/>
      <c r="O492" s="4"/>
      <c r="S492" s="5"/>
    </row>
    <row r="493" spans="3:19" x14ac:dyDescent="0.25">
      <c r="C493" s="4"/>
      <c r="E493" s="5"/>
      <c r="F493" s="5"/>
      <c r="H493" s="47"/>
      <c r="I493" s="47"/>
      <c r="O493" s="4"/>
      <c r="S493" s="5"/>
    </row>
    <row r="494" spans="3:19" x14ac:dyDescent="0.25">
      <c r="C494" s="4"/>
      <c r="E494" s="5"/>
      <c r="F494" s="5"/>
      <c r="H494" s="47"/>
      <c r="I494" s="47"/>
      <c r="O494" s="4"/>
      <c r="S494" s="5"/>
    </row>
    <row r="495" spans="3:19" x14ac:dyDescent="0.25">
      <c r="C495" s="4"/>
      <c r="E495" s="5"/>
      <c r="F495" s="5"/>
      <c r="H495" s="47"/>
      <c r="I495" s="47"/>
      <c r="O495" s="4"/>
      <c r="S495" s="5"/>
    </row>
    <row r="496" spans="3:19" x14ac:dyDescent="0.25">
      <c r="C496" s="4"/>
      <c r="E496" s="5"/>
      <c r="F496" s="5"/>
      <c r="H496" s="47"/>
      <c r="I496" s="47"/>
      <c r="O496" s="4"/>
      <c r="S496" s="5"/>
    </row>
    <row r="497" spans="3:19" x14ac:dyDescent="0.25">
      <c r="C497" s="4"/>
      <c r="E497" s="5"/>
      <c r="F497" s="5"/>
      <c r="H497" s="47"/>
      <c r="I497" s="47"/>
      <c r="O497" s="4"/>
      <c r="S497" s="5"/>
    </row>
    <row r="498" spans="3:19" x14ac:dyDescent="0.25">
      <c r="C498" s="4"/>
      <c r="E498" s="5"/>
      <c r="F498" s="5"/>
      <c r="H498" s="47"/>
      <c r="I498" s="47"/>
      <c r="O498" s="4"/>
      <c r="S498" s="5"/>
    </row>
    <row r="499" spans="3:19" x14ac:dyDescent="0.25">
      <c r="C499" s="4"/>
      <c r="E499" s="5"/>
      <c r="F499" s="5"/>
      <c r="H499" s="47"/>
      <c r="I499" s="47"/>
      <c r="O499" s="4"/>
      <c r="S499" s="5"/>
    </row>
    <row r="500" spans="3:19" x14ac:dyDescent="0.25">
      <c r="C500" s="4"/>
      <c r="E500" s="5"/>
      <c r="F500" s="5"/>
      <c r="H500" s="47"/>
      <c r="I500" s="47"/>
      <c r="O500" s="4"/>
      <c r="S500" s="5"/>
    </row>
    <row r="501" spans="3:19" x14ac:dyDescent="0.25">
      <c r="C501" s="4"/>
      <c r="E501" s="5"/>
      <c r="F501" s="5"/>
      <c r="H501" s="47"/>
      <c r="I501" s="47"/>
      <c r="O501" s="4"/>
      <c r="S501" s="5"/>
    </row>
    <row r="502" spans="3:19" x14ac:dyDescent="0.25">
      <c r="C502" s="4"/>
      <c r="E502" s="5"/>
      <c r="F502" s="5"/>
      <c r="H502" s="47"/>
      <c r="I502" s="47"/>
      <c r="O502" s="4"/>
      <c r="S502" s="5"/>
    </row>
    <row r="503" spans="3:19" x14ac:dyDescent="0.25">
      <c r="C503" s="4"/>
      <c r="E503" s="5"/>
      <c r="F503" s="5"/>
      <c r="H503" s="47"/>
      <c r="I503" s="47"/>
      <c r="O503" s="4"/>
      <c r="S503" s="5"/>
    </row>
    <row r="504" spans="3:19" x14ac:dyDescent="0.25">
      <c r="C504" s="4"/>
      <c r="E504" s="5"/>
      <c r="F504" s="5"/>
      <c r="H504" s="47"/>
      <c r="I504" s="47"/>
      <c r="O504" s="4"/>
      <c r="S504" s="5"/>
    </row>
    <row r="505" spans="3:19" x14ac:dyDescent="0.25">
      <c r="C505" s="4"/>
      <c r="E505" s="5"/>
      <c r="F505" s="5"/>
      <c r="H505" s="47"/>
      <c r="I505" s="47"/>
      <c r="O505" s="4"/>
      <c r="S505" s="5"/>
    </row>
    <row r="506" spans="3:19" x14ac:dyDescent="0.25">
      <c r="C506" s="4"/>
      <c r="E506" s="5"/>
      <c r="F506" s="5"/>
      <c r="H506" s="47"/>
      <c r="I506" s="47"/>
      <c r="O506" s="4"/>
      <c r="S506" s="5"/>
    </row>
    <row r="507" spans="3:19" x14ac:dyDescent="0.25">
      <c r="C507" s="4"/>
      <c r="E507" s="5"/>
      <c r="F507" s="5"/>
      <c r="H507" s="47"/>
      <c r="I507" s="47"/>
      <c r="O507" s="4"/>
      <c r="S507" s="5"/>
    </row>
    <row r="508" spans="3:19" x14ac:dyDescent="0.25">
      <c r="C508" s="4"/>
      <c r="E508" s="5"/>
      <c r="F508" s="5"/>
      <c r="H508" s="47"/>
      <c r="I508" s="47"/>
      <c r="O508" s="4"/>
      <c r="S508" s="5"/>
    </row>
    <row r="509" spans="3:19" x14ac:dyDescent="0.25">
      <c r="C509" s="4"/>
      <c r="E509" s="5"/>
      <c r="F509" s="5"/>
      <c r="H509" s="47"/>
      <c r="I509" s="47"/>
      <c r="O509" s="4"/>
      <c r="S509" s="5"/>
    </row>
    <row r="510" spans="3:19" x14ac:dyDescent="0.25">
      <c r="C510" s="4"/>
      <c r="E510" s="5"/>
      <c r="F510" s="5"/>
      <c r="H510" s="47"/>
      <c r="I510" s="47"/>
      <c r="O510" s="4"/>
      <c r="S510" s="5"/>
    </row>
    <row r="511" spans="3:19" x14ac:dyDescent="0.25">
      <c r="C511" s="4"/>
      <c r="E511" s="5"/>
      <c r="F511" s="5"/>
      <c r="H511" s="47"/>
      <c r="I511" s="47"/>
      <c r="O511" s="4"/>
      <c r="S511" s="5"/>
    </row>
    <row r="512" spans="3:19" x14ac:dyDescent="0.25">
      <c r="C512" s="4"/>
      <c r="E512" s="5"/>
      <c r="F512" s="5"/>
      <c r="H512" s="47"/>
      <c r="I512" s="47"/>
      <c r="O512" s="4"/>
      <c r="S512" s="5"/>
    </row>
    <row r="513" spans="3:19" x14ac:dyDescent="0.25">
      <c r="C513" s="4"/>
      <c r="E513" s="5"/>
      <c r="F513" s="5"/>
      <c r="H513" s="47"/>
      <c r="I513" s="47"/>
      <c r="O513" s="4"/>
      <c r="S513" s="5"/>
    </row>
    <row r="514" spans="3:19" x14ac:dyDescent="0.25">
      <c r="C514" s="4"/>
      <c r="E514" s="5"/>
      <c r="F514" s="5"/>
      <c r="H514" s="47"/>
      <c r="I514" s="47"/>
      <c r="O514" s="4"/>
      <c r="S514" s="5"/>
    </row>
    <row r="515" spans="3:19" x14ac:dyDescent="0.25">
      <c r="C515" s="4"/>
      <c r="E515" s="5"/>
      <c r="F515" s="5"/>
      <c r="H515" s="47"/>
      <c r="I515" s="47"/>
      <c r="O515" s="4"/>
      <c r="S515" s="5"/>
    </row>
    <row r="516" spans="3:19" x14ac:dyDescent="0.25">
      <c r="C516" s="4"/>
      <c r="E516" s="5"/>
      <c r="F516" s="5"/>
      <c r="H516" s="47"/>
      <c r="I516" s="47"/>
      <c r="O516" s="4"/>
      <c r="S516" s="5"/>
    </row>
    <row r="517" spans="3:19" x14ac:dyDescent="0.25">
      <c r="C517" s="4"/>
      <c r="E517" s="5"/>
      <c r="F517" s="5"/>
      <c r="H517" s="47"/>
      <c r="I517" s="47"/>
      <c r="O517" s="4"/>
      <c r="S517" s="5"/>
    </row>
    <row r="518" spans="3:19" x14ac:dyDescent="0.25">
      <c r="C518" s="4"/>
      <c r="E518" s="5"/>
      <c r="F518" s="5"/>
      <c r="H518" s="47"/>
      <c r="I518" s="47"/>
      <c r="O518" s="4"/>
      <c r="S518" s="5"/>
    </row>
    <row r="519" spans="3:19" x14ac:dyDescent="0.25">
      <c r="C519" s="4"/>
      <c r="E519" s="5"/>
      <c r="F519" s="5"/>
      <c r="H519" s="47"/>
      <c r="I519" s="47"/>
      <c r="O519" s="4"/>
      <c r="S519" s="5"/>
    </row>
    <row r="520" spans="3:19" x14ac:dyDescent="0.25">
      <c r="C520" s="4"/>
      <c r="E520" s="5"/>
      <c r="F520" s="5"/>
      <c r="H520" s="47"/>
      <c r="I520" s="47"/>
      <c r="O520" s="4"/>
      <c r="S520" s="5"/>
    </row>
    <row r="521" spans="3:19" x14ac:dyDescent="0.25">
      <c r="C521" s="4"/>
      <c r="E521" s="5"/>
      <c r="F521" s="5"/>
      <c r="H521" s="47"/>
      <c r="I521" s="47"/>
      <c r="O521" s="4"/>
      <c r="S521" s="5"/>
    </row>
    <row r="522" spans="3:19" x14ac:dyDescent="0.25">
      <c r="C522" s="4"/>
      <c r="E522" s="5"/>
      <c r="F522" s="5"/>
      <c r="H522" s="47"/>
      <c r="I522" s="47"/>
      <c r="O522" s="4"/>
      <c r="S522" s="5"/>
    </row>
    <row r="523" spans="3:19" x14ac:dyDescent="0.25">
      <c r="C523" s="4"/>
      <c r="E523" s="5"/>
      <c r="F523" s="5"/>
      <c r="H523" s="47"/>
      <c r="I523" s="47"/>
      <c r="O523" s="4"/>
      <c r="S523" s="5"/>
    </row>
    <row r="524" spans="3:19" x14ac:dyDescent="0.25">
      <c r="C524" s="4"/>
      <c r="E524" s="5"/>
      <c r="F524" s="5"/>
      <c r="H524" s="47"/>
      <c r="I524" s="47"/>
      <c r="O524" s="4"/>
      <c r="S524" s="5"/>
    </row>
    <row r="525" spans="3:19" x14ac:dyDescent="0.25">
      <c r="C525" s="4"/>
      <c r="E525" s="5"/>
      <c r="F525" s="5"/>
      <c r="H525" s="47"/>
      <c r="I525" s="47"/>
      <c r="O525" s="4"/>
      <c r="S525" s="5"/>
    </row>
    <row r="526" spans="3:19" x14ac:dyDescent="0.25">
      <c r="C526" s="4"/>
      <c r="E526" s="5"/>
      <c r="F526" s="5"/>
      <c r="H526" s="47"/>
      <c r="I526" s="47"/>
      <c r="O526" s="4"/>
      <c r="S526" s="5"/>
    </row>
    <row r="527" spans="3:19" x14ac:dyDescent="0.25">
      <c r="C527" s="4"/>
      <c r="E527" s="5"/>
      <c r="F527" s="5"/>
      <c r="H527" s="47"/>
      <c r="I527" s="47"/>
      <c r="O527" s="4"/>
      <c r="S527" s="5"/>
    </row>
    <row r="528" spans="3:19" x14ac:dyDescent="0.25">
      <c r="C528" s="4"/>
      <c r="E528" s="5"/>
      <c r="F528" s="5"/>
      <c r="H528" s="47"/>
      <c r="I528" s="47"/>
      <c r="O528" s="4"/>
      <c r="S528" s="5"/>
    </row>
    <row r="529" spans="3:19" x14ac:dyDescent="0.25">
      <c r="C529" s="4"/>
      <c r="E529" s="5"/>
      <c r="F529" s="5"/>
      <c r="H529" s="47"/>
      <c r="I529" s="47"/>
      <c r="O529" s="4"/>
      <c r="S529" s="5"/>
    </row>
    <row r="530" spans="3:19" x14ac:dyDescent="0.25">
      <c r="C530" s="4"/>
      <c r="E530" s="5"/>
      <c r="F530" s="5"/>
      <c r="H530" s="47"/>
      <c r="I530" s="47"/>
      <c r="O530" s="4"/>
      <c r="S530" s="5"/>
    </row>
    <row r="531" spans="3:19" x14ac:dyDescent="0.25">
      <c r="C531" s="4"/>
      <c r="E531" s="5"/>
      <c r="F531" s="5"/>
      <c r="H531" s="47"/>
      <c r="I531" s="47"/>
      <c r="O531" s="4"/>
      <c r="S531" s="5"/>
    </row>
    <row r="532" spans="3:19" x14ac:dyDescent="0.25">
      <c r="C532" s="4"/>
      <c r="E532" s="5"/>
      <c r="F532" s="5"/>
      <c r="H532" s="47"/>
      <c r="I532" s="47"/>
      <c r="O532" s="4"/>
      <c r="S532" s="5"/>
    </row>
    <row r="533" spans="3:19" x14ac:dyDescent="0.25">
      <c r="C533" s="4"/>
      <c r="E533" s="5"/>
      <c r="F533" s="5"/>
      <c r="H533" s="47"/>
      <c r="I533" s="47"/>
      <c r="O533" s="4"/>
      <c r="S533" s="5"/>
    </row>
    <row r="534" spans="3:19" x14ac:dyDescent="0.25">
      <c r="C534" s="4"/>
      <c r="E534" s="5"/>
      <c r="F534" s="5"/>
      <c r="H534" s="47"/>
      <c r="I534" s="47"/>
      <c r="O534" s="4"/>
      <c r="S534" s="5"/>
    </row>
    <row r="535" spans="3:19" x14ac:dyDescent="0.25">
      <c r="C535" s="4"/>
      <c r="E535" s="5"/>
      <c r="F535" s="5"/>
      <c r="H535" s="47"/>
      <c r="I535" s="47"/>
      <c r="O535" s="4"/>
      <c r="S535" s="5"/>
    </row>
    <row r="536" spans="3:19" x14ac:dyDescent="0.25">
      <c r="C536" s="4"/>
      <c r="E536" s="5"/>
      <c r="F536" s="5"/>
      <c r="H536" s="47"/>
      <c r="I536" s="47"/>
      <c r="O536" s="4"/>
      <c r="S536" s="5"/>
    </row>
    <row r="537" spans="3:19" x14ac:dyDescent="0.25">
      <c r="C537" s="4"/>
      <c r="E537" s="5"/>
      <c r="F537" s="5"/>
      <c r="H537" s="47"/>
      <c r="I537" s="47"/>
      <c r="O537" s="4"/>
      <c r="S537" s="5"/>
    </row>
    <row r="538" spans="3:19" x14ac:dyDescent="0.25">
      <c r="C538" s="4"/>
      <c r="E538" s="5"/>
      <c r="F538" s="5"/>
      <c r="H538" s="47"/>
      <c r="I538" s="47"/>
      <c r="O538" s="4"/>
      <c r="S538" s="5"/>
    </row>
    <row r="539" spans="3:19" x14ac:dyDescent="0.25">
      <c r="C539" s="4"/>
      <c r="E539" s="5"/>
      <c r="F539" s="5"/>
      <c r="H539" s="47"/>
      <c r="I539" s="47"/>
      <c r="O539" s="4"/>
      <c r="S539" s="5"/>
    </row>
    <row r="540" spans="3:19" x14ac:dyDescent="0.25">
      <c r="C540" s="4"/>
      <c r="E540" s="5"/>
      <c r="F540" s="5"/>
      <c r="H540" s="47"/>
      <c r="I540" s="47"/>
      <c r="O540" s="4"/>
      <c r="S540" s="5"/>
    </row>
    <row r="541" spans="3:19" x14ac:dyDescent="0.25">
      <c r="C541" s="4"/>
      <c r="E541" s="5"/>
      <c r="F541" s="5"/>
      <c r="H541" s="47"/>
      <c r="I541" s="47"/>
      <c r="O541" s="4"/>
      <c r="S541" s="5"/>
    </row>
  </sheetData>
  <autoFilter ref="A3:I219" xr:uid="{E5E4228F-BA43-4FCF-973F-70370FAE3B1B}">
    <sortState xmlns:xlrd2="http://schemas.microsoft.com/office/spreadsheetml/2017/richdata2" ref="A4:I219">
      <sortCondition ref="D3:D219"/>
    </sortState>
  </autoFilter>
  <sortState xmlns:xlrd2="http://schemas.microsoft.com/office/spreadsheetml/2017/richdata2" ref="O4:S541">
    <sortCondition ref="Q4:Q541"/>
    <sortCondition descending="1" ref="S4:S541"/>
  </sortState>
  <mergeCells count="15">
    <mergeCell ref="N2:R2"/>
    <mergeCell ref="N17:R17"/>
    <mergeCell ref="AO2:AO3"/>
    <mergeCell ref="AP2:AQ2"/>
    <mergeCell ref="AR2:AS2"/>
    <mergeCell ref="U2:U3"/>
    <mergeCell ref="T2:T3"/>
    <mergeCell ref="AM2:AM3"/>
    <mergeCell ref="AG2:AI3"/>
    <mergeCell ref="AA2:AE2"/>
    <mergeCell ref="AL2:AL3"/>
    <mergeCell ref="AK2:AK3"/>
    <mergeCell ref="Y2:Y3"/>
    <mergeCell ref="X2:X3"/>
    <mergeCell ref="V2:V3"/>
  </mergeCell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E05ADA-AB9A-47F8-83EF-B32CB1ED87B6}">
  <dimension ref="C1:S85"/>
  <sheetViews>
    <sheetView showGridLines="0" tabSelected="1" topLeftCell="E1" workbookViewId="0">
      <selection activeCell="Q4" sqref="Q4:S15"/>
    </sheetView>
  </sheetViews>
  <sheetFormatPr defaultRowHeight="15" x14ac:dyDescent="0.25"/>
  <cols>
    <col min="1" max="2" width="2.7109375" customWidth="1"/>
    <col min="3" max="3" width="14.85546875" bestFit="1" customWidth="1"/>
    <col min="4" max="4" width="13.42578125" customWidth="1"/>
    <col min="5" max="5" width="24.7109375" customWidth="1"/>
    <col min="6" max="9" width="13.5703125" customWidth="1"/>
    <col min="10" max="10" width="2.7109375" customWidth="1"/>
    <col min="11" max="14" width="13.5703125" customWidth="1"/>
    <col min="15" max="15" width="1.7109375" customWidth="1"/>
    <col min="16" max="19" width="13.5703125" customWidth="1"/>
  </cols>
  <sheetData>
    <row r="1" spans="3:19" ht="15.75" thickBot="1" x14ac:dyDescent="0.3">
      <c r="C1" s="21" t="s">
        <v>39</v>
      </c>
      <c r="E1" t="s">
        <v>0</v>
      </c>
    </row>
    <row r="2" spans="3:19" x14ac:dyDescent="0.25">
      <c r="C2" s="67" t="s">
        <v>47</v>
      </c>
      <c r="D2" s="68"/>
      <c r="E2" s="69"/>
      <c r="F2" s="75" t="s">
        <v>48</v>
      </c>
      <c r="G2" s="75"/>
      <c r="H2" s="75"/>
      <c r="I2" s="75"/>
      <c r="K2" s="76" t="s">
        <v>40</v>
      </c>
      <c r="L2" s="73"/>
      <c r="M2" s="73"/>
      <c r="N2" s="73"/>
      <c r="O2" s="39"/>
      <c r="P2" s="73" t="s">
        <v>41</v>
      </c>
      <c r="Q2" s="73"/>
      <c r="R2" s="73"/>
      <c r="S2" s="74"/>
    </row>
    <row r="3" spans="3:19" x14ac:dyDescent="0.25">
      <c r="C3" s="70"/>
      <c r="D3" s="71"/>
      <c r="E3" s="72"/>
      <c r="F3" s="45" t="s">
        <v>5</v>
      </c>
      <c r="G3" s="46" t="s">
        <v>25</v>
      </c>
      <c r="H3" s="46" t="s">
        <v>26</v>
      </c>
      <c r="I3" s="46" t="s">
        <v>27</v>
      </c>
      <c r="K3" s="31" t="s">
        <v>5</v>
      </c>
      <c r="L3" s="46" t="s">
        <v>51</v>
      </c>
      <c r="M3" s="46" t="s">
        <v>52</v>
      </c>
      <c r="N3" s="46" t="s">
        <v>53</v>
      </c>
      <c r="O3" s="41"/>
      <c r="P3" s="45" t="s">
        <v>5</v>
      </c>
      <c r="Q3" s="46" t="s">
        <v>25</v>
      </c>
      <c r="R3" s="46" t="s">
        <v>26</v>
      </c>
      <c r="S3" s="32" t="s">
        <v>27</v>
      </c>
    </row>
    <row r="4" spans="3:19" x14ac:dyDescent="0.25">
      <c r="C4" s="2">
        <f>'Wet-Dry Months'!AG4</f>
        <v>4</v>
      </c>
      <c r="D4" s="2">
        <f>'Wet-Dry Months'!AH4</f>
        <v>21</v>
      </c>
      <c r="E4" s="22" t="str">
        <f>$C$1&amp;'Wet-Dry Months'!AI4</f>
        <v>'Wet-Dry Months'!F4:F21</v>
      </c>
      <c r="F4" s="10">
        <v>1</v>
      </c>
      <c r="G4" s="3">
        <f ca="1">AVERAGEIFS('Wet-Dry Months'!$F$4:$F$541,'Wet-Dry Months'!$I$4:$I$541,'Final Grids'!G$3,'Wet-Dry Months'!$D$4:$D$541,'Final Grids'!$F4)</f>
        <v>161.64131410250215</v>
      </c>
      <c r="H4" s="3">
        <f ca="1">AVERAGEIFS('Wet-Dry Months'!$F$4:$F$541,'Wet-Dry Months'!$I$4:$I$541,'Final Grids'!H$3,'Wet-Dry Months'!$D$4:$D$541,'Final Grids'!$F4)</f>
        <v>106.17489670017676</v>
      </c>
      <c r="I4" s="3">
        <f ca="1">AVERAGEIFS('Wet-Dry Months'!$F$4:$F$541,'Wet-Dry Months'!$I$4:$I$541,'Final Grids'!I$3,'Wet-Dry Months'!$D$4:$D$541,'Final Grids'!$F4)</f>
        <v>68.627568186397141</v>
      </c>
      <c r="K4" s="33">
        <v>1</v>
      </c>
      <c r="L4" s="3">
        <f ca="1">IF(L42&lt;L74,L26,L58)</f>
        <v>164.38120084531801</v>
      </c>
      <c r="M4" s="3">
        <f t="shared" ref="M4:N4" ca="1" si="0">IF(M42&lt;M74,M26,M58)</f>
        <v>105.13069468006501</v>
      </c>
      <c r="N4" s="3">
        <f t="shared" ca="1" si="0"/>
        <v>63.552695042378197</v>
      </c>
      <c r="O4" s="41"/>
      <c r="P4" s="10">
        <v>1</v>
      </c>
      <c r="Q4" s="2">
        <f ca="1">VLOOKUP(L4,'Wet-Dry Months'!$F$3:$G$541,2,FALSE)</f>
        <v>2017</v>
      </c>
      <c r="R4" s="2">
        <f ca="1">VLOOKUP(M4,'Wet-Dry Months'!$F$3:$G$541,2,FALSE)</f>
        <v>2011</v>
      </c>
      <c r="S4" s="34">
        <f ca="1">VLOOKUP(N4,'Wet-Dry Months'!$F$3:$G$541,2,FALSE)</f>
        <v>2022</v>
      </c>
    </row>
    <row r="5" spans="3:19" x14ac:dyDescent="0.25">
      <c r="C5" s="2">
        <f>'Wet-Dry Months'!AG5</f>
        <v>22</v>
      </c>
      <c r="D5" s="2">
        <f>'Wet-Dry Months'!AH5</f>
        <v>39</v>
      </c>
      <c r="E5" s="22" t="str">
        <f>$C$1&amp;'Wet-Dry Months'!AI5</f>
        <v>'Wet-Dry Months'!F22:F39</v>
      </c>
      <c r="F5" s="10">
        <v>2</v>
      </c>
      <c r="G5" s="3">
        <f ca="1">AVERAGEIFS('Wet-Dry Months'!$F$4:$F$541,'Wet-Dry Months'!$I$4:$I$541,'Final Grids'!G$3,'Wet-Dry Months'!$D$4:$D$541,'Final Grids'!$F5)</f>
        <v>155.72949002481442</v>
      </c>
      <c r="H5" s="3">
        <f ca="1">AVERAGEIFS('Wet-Dry Months'!$F$4:$F$541,'Wet-Dry Months'!$I$4:$I$541,'Final Grids'!H$3,'Wet-Dry Months'!$D$4:$D$541,'Final Grids'!$F5)</f>
        <v>93.686512110573943</v>
      </c>
      <c r="I5" s="3">
        <f ca="1">AVERAGEIFS('Wet-Dry Months'!$F$4:$F$541,'Wet-Dry Months'!$I$4:$I$541,'Final Grids'!I$3,'Wet-Dry Months'!$D$4:$D$541,'Final Grids'!$F5)</f>
        <v>60.660558276571983</v>
      </c>
      <c r="K5" s="33">
        <v>2</v>
      </c>
      <c r="L5" s="3">
        <f t="shared" ref="L5:N5" ca="1" si="1">IF(L43&lt;L75,L27,L59)</f>
        <v>160.06426473666599</v>
      </c>
      <c r="M5" s="3">
        <f t="shared" ca="1" si="1"/>
        <v>90.962622575394704</v>
      </c>
      <c r="N5" s="3">
        <f t="shared" ca="1" si="1"/>
        <v>67.005375800010995</v>
      </c>
      <c r="O5" s="41"/>
      <c r="P5" s="10">
        <v>2</v>
      </c>
      <c r="Q5" s="2">
        <f ca="1">VLOOKUP(L5,'Wet-Dry Months'!$F$3:$G$541,2,FALSE)</f>
        <v>2012</v>
      </c>
      <c r="R5" s="2">
        <f ca="1">VLOOKUP(M5,'Wet-Dry Months'!$F$3:$G$541,2,FALSE)</f>
        <v>2019</v>
      </c>
      <c r="S5" s="34">
        <f ca="1">VLOOKUP(N5,'Wet-Dry Months'!$F$3:$G$541,2,FALSE)</f>
        <v>2022</v>
      </c>
    </row>
    <row r="6" spans="3:19" x14ac:dyDescent="0.25">
      <c r="C6" s="2">
        <f>'Wet-Dry Months'!AG6</f>
        <v>40</v>
      </c>
      <c r="D6" s="2">
        <f>'Wet-Dry Months'!AH6</f>
        <v>57</v>
      </c>
      <c r="E6" s="22" t="str">
        <f>$C$1&amp;'Wet-Dry Months'!AI6</f>
        <v>'Wet-Dry Months'!F40:F57</v>
      </c>
      <c r="F6" s="10">
        <v>3</v>
      </c>
      <c r="G6" s="3">
        <f ca="1">AVERAGEIFS('Wet-Dry Months'!$F$4:$F$541,'Wet-Dry Months'!$I$4:$I$541,'Final Grids'!G$3,'Wet-Dry Months'!$D$4:$D$541,'Final Grids'!$F6)</f>
        <v>165.4538565743398</v>
      </c>
      <c r="H6" s="3">
        <f ca="1">AVERAGEIFS('Wet-Dry Months'!$F$4:$F$541,'Wet-Dry Months'!$I$4:$I$541,'Final Grids'!H$3,'Wet-Dry Months'!$D$4:$D$541,'Final Grids'!$F6)</f>
        <v>100.28108204406847</v>
      </c>
      <c r="I6" s="3">
        <f ca="1">AVERAGEIFS('Wet-Dry Months'!$F$4:$F$541,'Wet-Dry Months'!$I$4:$I$541,'Final Grids'!I$3,'Wet-Dry Months'!$D$4:$D$541,'Final Grids'!$F6)</f>
        <v>49.982871695826574</v>
      </c>
      <c r="K6" s="33">
        <v>3</v>
      </c>
      <c r="L6" s="3">
        <f t="shared" ref="L6:N6" ca="1" si="2">IF(L44&lt;L76,L28,L60)</f>
        <v>170.16263778233201</v>
      </c>
      <c r="M6" s="3">
        <f t="shared" ca="1" si="2"/>
        <v>97.170448965533694</v>
      </c>
      <c r="N6" s="3">
        <f t="shared" ca="1" si="2"/>
        <v>46.2895654137278</v>
      </c>
      <c r="O6" s="41"/>
      <c r="P6" s="10">
        <v>3</v>
      </c>
      <c r="Q6" s="2">
        <f ca="1">VLOOKUP(L6,'Wet-Dry Months'!$F$3:$G$541,2,FALSE)</f>
        <v>2012</v>
      </c>
      <c r="R6" s="2">
        <f ca="1">VLOOKUP(M6,'Wet-Dry Months'!$F$3:$G$541,2,FALSE)</f>
        <v>2017</v>
      </c>
      <c r="S6" s="34">
        <f ca="1">VLOOKUP(N6,'Wet-Dry Months'!$F$3:$G$541,2,FALSE)</f>
        <v>2019</v>
      </c>
    </row>
    <row r="7" spans="3:19" x14ac:dyDescent="0.25">
      <c r="C7" s="2">
        <f>'Wet-Dry Months'!AG7</f>
        <v>58</v>
      </c>
      <c r="D7" s="2">
        <f>'Wet-Dry Months'!AH7</f>
        <v>75</v>
      </c>
      <c r="E7" s="22" t="str">
        <f>$C$1&amp;'Wet-Dry Months'!AI7</f>
        <v>'Wet-Dry Months'!F58:F75</v>
      </c>
      <c r="F7" s="10">
        <v>4</v>
      </c>
      <c r="G7" s="3">
        <f ca="1">AVERAGEIFS('Wet-Dry Months'!$F$4:$F$541,'Wet-Dry Months'!$I$4:$I$541,'Final Grids'!G$3,'Wet-Dry Months'!$D$4:$D$541,'Final Grids'!$F7)</f>
        <v>190.19827796705701</v>
      </c>
      <c r="H7" s="3">
        <f ca="1">AVERAGEIFS('Wet-Dry Months'!$F$4:$F$541,'Wet-Dry Months'!$I$4:$I$541,'Final Grids'!H$3,'Wet-Dry Months'!$D$4:$D$541,'Final Grids'!$F7)</f>
        <v>116.24585923665416</v>
      </c>
      <c r="I7" s="3">
        <f ca="1">AVERAGEIFS('Wet-Dry Months'!$F$4:$F$541,'Wet-Dry Months'!$I$4:$I$541,'Final Grids'!I$3,'Wet-Dry Months'!$D$4:$D$541,'Final Grids'!$F7)</f>
        <v>62.630032748514893</v>
      </c>
      <c r="K7" s="33">
        <v>4</v>
      </c>
      <c r="L7" s="3">
        <f t="shared" ref="L7:N7" ca="1" si="3">IF(L45&lt;L77,L29,L61)</f>
        <v>180.304339507641</v>
      </c>
      <c r="M7" s="3">
        <f t="shared" ca="1" si="3"/>
        <v>117.58415086941</v>
      </c>
      <c r="N7" s="3">
        <f t="shared" ca="1" si="3"/>
        <v>69.717565737328997</v>
      </c>
      <c r="O7" s="41"/>
      <c r="P7" s="10">
        <v>4</v>
      </c>
      <c r="Q7" s="2">
        <f ca="1">VLOOKUP(L7,'Wet-Dry Months'!$F$3:$G$541,2,FALSE)</f>
        <v>2016</v>
      </c>
      <c r="R7" s="2">
        <f ca="1">VLOOKUP(M7,'Wet-Dry Months'!$F$3:$G$541,2,FALSE)</f>
        <v>2014</v>
      </c>
      <c r="S7" s="34">
        <f ca="1">VLOOKUP(N7,'Wet-Dry Months'!$F$3:$G$541,2,FALSE)</f>
        <v>2022</v>
      </c>
    </row>
    <row r="8" spans="3:19" x14ac:dyDescent="0.25">
      <c r="C8" s="2">
        <f>'Wet-Dry Months'!AG8</f>
        <v>76</v>
      </c>
      <c r="D8" s="2">
        <f>'Wet-Dry Months'!AH8</f>
        <v>93</v>
      </c>
      <c r="E8" s="22" t="str">
        <f>$C$1&amp;'Wet-Dry Months'!AI8</f>
        <v>'Wet-Dry Months'!F76:F93</v>
      </c>
      <c r="F8" s="10">
        <v>5</v>
      </c>
      <c r="G8" s="3">
        <f ca="1">AVERAGEIFS('Wet-Dry Months'!$F$4:$F$541,'Wet-Dry Months'!$I$4:$I$541,'Final Grids'!G$3,'Wet-Dry Months'!$D$4:$D$541,'Final Grids'!$F8)</f>
        <v>203.87277474807934</v>
      </c>
      <c r="H8" s="3">
        <f ca="1">AVERAGEIFS('Wet-Dry Months'!$F$4:$F$541,'Wet-Dry Months'!$I$4:$I$541,'Final Grids'!H$3,'Wet-Dry Months'!$D$4:$D$541,'Final Grids'!$F8)</f>
        <v>141.28628902919559</v>
      </c>
      <c r="I8" s="3">
        <f ca="1">AVERAGEIFS('Wet-Dry Months'!$F$4:$F$541,'Wet-Dry Months'!$I$4:$I$541,'Final Grids'!I$3,'Wet-Dry Months'!$D$4:$D$541,'Final Grids'!$F8)</f>
        <v>81.389706477665442</v>
      </c>
      <c r="K8" s="33">
        <v>5</v>
      </c>
      <c r="L8" s="3">
        <f t="shared" ref="L8:N8" ca="1" si="4">IF(L46&lt;L78,L30,L62)</f>
        <v>193.09739453655001</v>
      </c>
      <c r="M8" s="3">
        <f t="shared" ca="1" si="4"/>
        <v>141.80286867385499</v>
      </c>
      <c r="N8" s="3">
        <f t="shared" ca="1" si="4"/>
        <v>86.080787801706705</v>
      </c>
      <c r="O8" s="41"/>
      <c r="P8" s="10">
        <v>5</v>
      </c>
      <c r="Q8" s="2">
        <f ca="1">VLOOKUP(L8,'Wet-Dry Months'!$F$3:$G$541,2,FALSE)</f>
        <v>2019</v>
      </c>
      <c r="R8" s="2">
        <f ca="1">VLOOKUP(M8,'Wet-Dry Months'!$F$3:$G$541,2,FALSE)</f>
        <v>2020</v>
      </c>
      <c r="S8" s="34">
        <f ca="1">VLOOKUP(N8,'Wet-Dry Months'!$F$3:$G$541,2,FALSE)</f>
        <v>2012</v>
      </c>
    </row>
    <row r="9" spans="3:19" x14ac:dyDescent="0.25">
      <c r="C9" s="2">
        <f>'Wet-Dry Months'!AG9</f>
        <v>94</v>
      </c>
      <c r="D9" s="2">
        <f>'Wet-Dry Months'!AH9</f>
        <v>111</v>
      </c>
      <c r="E9" s="22" t="str">
        <f>$C$1&amp;'Wet-Dry Months'!AI9</f>
        <v>'Wet-Dry Months'!F94:F111</v>
      </c>
      <c r="F9" s="10">
        <v>6</v>
      </c>
      <c r="G9" s="3">
        <f ca="1">AVERAGEIFS('Wet-Dry Months'!$F$4:$F$541,'Wet-Dry Months'!$I$4:$I$541,'Final Grids'!G$3,'Wet-Dry Months'!$D$4:$D$541,'Final Grids'!$F9)</f>
        <v>200.34376221318985</v>
      </c>
      <c r="H9" s="3">
        <f ca="1">AVERAGEIFS('Wet-Dry Months'!$F$4:$F$541,'Wet-Dry Months'!$I$4:$I$541,'Final Grids'!H$3,'Wet-Dry Months'!$D$4:$D$541,'Final Grids'!$F9)</f>
        <v>132.82403716091025</v>
      </c>
      <c r="I9" s="3">
        <f ca="1">AVERAGEIFS('Wet-Dry Months'!$F$4:$F$541,'Wet-Dry Months'!$I$4:$I$541,'Final Grids'!I$3,'Wet-Dry Months'!$D$4:$D$541,'Final Grids'!$F9)</f>
        <v>88.042981781037653</v>
      </c>
      <c r="K9" s="33">
        <v>6</v>
      </c>
      <c r="L9" s="3">
        <f t="shared" ref="L9:N9" ca="1" si="5">IF(L47&lt;L79,L31,L63)</f>
        <v>192.05578603356</v>
      </c>
      <c r="M9" s="3">
        <f t="shared" ca="1" si="5"/>
        <v>132.55114675051399</v>
      </c>
      <c r="N9" s="3">
        <f t="shared" ca="1" si="5"/>
        <v>84.480905730213905</v>
      </c>
      <c r="O9" s="41"/>
      <c r="P9" s="10">
        <v>6</v>
      </c>
      <c r="Q9" s="2">
        <f ca="1">VLOOKUP(L9,'Wet-Dry Months'!$F$3:$G$541,2,FALSE)</f>
        <v>2019</v>
      </c>
      <c r="R9" s="2">
        <f ca="1">VLOOKUP(M9,'Wet-Dry Months'!$F$3:$G$541,2,FALSE)</f>
        <v>2018</v>
      </c>
      <c r="S9" s="34">
        <f ca="1">VLOOKUP(N9,'Wet-Dry Months'!$F$3:$G$541,2,FALSE)</f>
        <v>2011</v>
      </c>
    </row>
    <row r="10" spans="3:19" x14ac:dyDescent="0.25">
      <c r="C10" s="2">
        <f>'Wet-Dry Months'!AG10</f>
        <v>112</v>
      </c>
      <c r="D10" s="2">
        <f>'Wet-Dry Months'!AH10</f>
        <v>129</v>
      </c>
      <c r="E10" s="22" t="str">
        <f>$C$1&amp;'Wet-Dry Months'!AI10</f>
        <v>'Wet-Dry Months'!F112:F129</v>
      </c>
      <c r="F10" s="10">
        <v>7</v>
      </c>
      <c r="G10" s="3">
        <f ca="1">AVERAGEIFS('Wet-Dry Months'!$F$4:$F$541,'Wet-Dry Months'!$I$4:$I$541,'Final Grids'!G$3,'Wet-Dry Months'!$D$4:$D$541,'Final Grids'!$F10)</f>
        <v>216.90851197978924</v>
      </c>
      <c r="H10" s="3">
        <f ca="1">AVERAGEIFS('Wet-Dry Months'!$F$4:$F$541,'Wet-Dry Months'!$I$4:$I$541,'Final Grids'!H$3,'Wet-Dry Months'!$D$4:$D$541,'Final Grids'!$F10)</f>
        <v>174.02728677760467</v>
      </c>
      <c r="I10" s="3">
        <f ca="1">AVERAGEIFS('Wet-Dry Months'!$F$4:$F$541,'Wet-Dry Months'!$I$4:$I$541,'Final Grids'!I$3,'Wet-Dry Months'!$D$4:$D$541,'Final Grids'!$F10)</f>
        <v>119.17929526412026</v>
      </c>
      <c r="K10" s="33">
        <v>7</v>
      </c>
      <c r="L10" s="3">
        <f t="shared" ref="L10:N10" ca="1" si="6">IF(L48&lt;L80,L32,L64)</f>
        <v>216.98352305886399</v>
      </c>
      <c r="M10" s="3">
        <f t="shared" ca="1" si="6"/>
        <v>168.924525128955</v>
      </c>
      <c r="N10" s="3">
        <f t="shared" ca="1" si="6"/>
        <v>128.01322723478299</v>
      </c>
      <c r="O10" s="41"/>
      <c r="P10" s="10">
        <v>7</v>
      </c>
      <c r="Q10" s="2">
        <f ca="1">VLOOKUP(L10,'Wet-Dry Months'!$F$3:$G$541,2,FALSE)</f>
        <v>2011</v>
      </c>
      <c r="R10" s="2">
        <f ca="1">VLOOKUP(M10,'Wet-Dry Months'!$F$3:$G$541,2,FALSE)</f>
        <v>2014</v>
      </c>
      <c r="S10" s="34">
        <f ca="1">VLOOKUP(N10,'Wet-Dry Months'!$F$3:$G$541,2,FALSE)</f>
        <v>2016</v>
      </c>
    </row>
    <row r="11" spans="3:19" x14ac:dyDescent="0.25">
      <c r="C11" s="2">
        <f>'Wet-Dry Months'!AG11</f>
        <v>130</v>
      </c>
      <c r="D11" s="2">
        <f>'Wet-Dry Months'!AH11</f>
        <v>147</v>
      </c>
      <c r="E11" s="22" t="str">
        <f>$C$1&amp;'Wet-Dry Months'!AI11</f>
        <v>'Wet-Dry Months'!F130:F147</v>
      </c>
      <c r="F11" s="10">
        <v>8</v>
      </c>
      <c r="G11" s="3">
        <f ca="1">AVERAGEIFS('Wet-Dry Months'!$F$4:$F$541,'Wet-Dry Months'!$I$4:$I$541,'Final Grids'!G$3,'Wet-Dry Months'!$D$4:$D$541,'Final Grids'!$F11)</f>
        <v>274.4147123483117</v>
      </c>
      <c r="H11" s="3">
        <f ca="1">AVERAGEIFS('Wet-Dry Months'!$F$4:$F$541,'Wet-Dry Months'!$I$4:$I$541,'Final Grids'!H$3,'Wet-Dry Months'!$D$4:$D$541,'Final Grids'!$F11)</f>
        <v>155.26769516575649</v>
      </c>
      <c r="I11" s="3">
        <f ca="1">AVERAGEIFS('Wet-Dry Months'!$F$4:$F$541,'Wet-Dry Months'!$I$4:$I$541,'Final Grids'!I$3,'Wet-Dry Months'!$D$4:$D$541,'Final Grids'!$F11)</f>
        <v>87.672587693234505</v>
      </c>
      <c r="K11" s="33">
        <v>8</v>
      </c>
      <c r="L11" s="3">
        <f t="shared" ref="L11:N11" ca="1" si="7">IF(L49&lt;L81,L33,L65)</f>
        <v>271.99775084445901</v>
      </c>
      <c r="M11" s="3">
        <f t="shared" ca="1" si="7"/>
        <v>148.29094283185799</v>
      </c>
      <c r="N11" s="3">
        <f t="shared" ca="1" si="7"/>
        <v>96.682842243272603</v>
      </c>
      <c r="O11" s="41"/>
      <c r="P11" s="10">
        <v>8</v>
      </c>
      <c r="Q11" s="2">
        <f ca="1">VLOOKUP(L11,'Wet-Dry Months'!$F$3:$G$541,2,FALSE)</f>
        <v>2022</v>
      </c>
      <c r="R11" s="2">
        <f ca="1">VLOOKUP(M11,'Wet-Dry Months'!$F$3:$G$541,2,FALSE)</f>
        <v>2018</v>
      </c>
      <c r="S11" s="34">
        <f ca="1">VLOOKUP(N11,'Wet-Dry Months'!$F$3:$G$541,2,FALSE)</f>
        <v>2015</v>
      </c>
    </row>
    <row r="12" spans="3:19" x14ac:dyDescent="0.25">
      <c r="C12" s="2">
        <f>'Wet-Dry Months'!AG12</f>
        <v>148</v>
      </c>
      <c r="D12" s="2">
        <f>'Wet-Dry Months'!AH12</f>
        <v>165</v>
      </c>
      <c r="E12" s="22" t="str">
        <f>$C$1&amp;'Wet-Dry Months'!AI12</f>
        <v>'Wet-Dry Months'!F148:F165</v>
      </c>
      <c r="F12" s="10">
        <v>9</v>
      </c>
      <c r="G12" s="3">
        <f ca="1">AVERAGEIFS('Wet-Dry Months'!$F$4:$F$541,'Wet-Dry Months'!$I$4:$I$541,'Final Grids'!G$3,'Wet-Dry Months'!$D$4:$D$541,'Final Grids'!$F12)</f>
        <v>212.53750893184335</v>
      </c>
      <c r="H12" s="3">
        <f ca="1">AVERAGEIFS('Wet-Dry Months'!$F$4:$F$541,'Wet-Dry Months'!$I$4:$I$541,'Final Grids'!H$3,'Wet-Dry Months'!$D$4:$D$541,'Final Grids'!$F12)</f>
        <v>117.10081675466972</v>
      </c>
      <c r="I12" s="3">
        <f ca="1">AVERAGEIFS('Wet-Dry Months'!$F$4:$F$541,'Wet-Dry Months'!$I$4:$I$541,'Final Grids'!I$3,'Wet-Dry Months'!$D$4:$D$541,'Final Grids'!$F12)</f>
        <v>63.743447071131847</v>
      </c>
      <c r="K12" s="33">
        <v>9</v>
      </c>
      <c r="L12" s="3">
        <f t="shared" ref="L12:N12" ca="1" si="8">IF(L50&lt;L82,L34,L66)</f>
        <v>205.85763522196501</v>
      </c>
      <c r="M12" s="3">
        <f t="shared" ca="1" si="8"/>
        <v>113.146625379773</v>
      </c>
      <c r="N12" s="3">
        <f t="shared" ca="1" si="8"/>
        <v>63.935120785916503</v>
      </c>
      <c r="O12" s="41"/>
      <c r="P12" s="10">
        <v>9</v>
      </c>
      <c r="Q12" s="2">
        <f ca="1">VLOOKUP(L12,'Wet-Dry Months'!$F$3:$G$541,2,FALSE)</f>
        <v>2008</v>
      </c>
      <c r="R12" s="2">
        <f ca="1">VLOOKUP(M12,'Wet-Dry Months'!$F$3:$G$541,2,FALSE)</f>
        <v>2014</v>
      </c>
      <c r="S12" s="34">
        <f ca="1">VLOOKUP(N12,'Wet-Dry Months'!$F$3:$G$541,2,FALSE)</f>
        <v>2022</v>
      </c>
    </row>
    <row r="13" spans="3:19" x14ac:dyDescent="0.25">
      <c r="C13" s="2">
        <f>'Wet-Dry Months'!AG13</f>
        <v>166</v>
      </c>
      <c r="D13" s="2">
        <f>'Wet-Dry Months'!AH13</f>
        <v>183</v>
      </c>
      <c r="E13" s="22" t="str">
        <f>$C$1&amp;'Wet-Dry Months'!AI13</f>
        <v>'Wet-Dry Months'!F166:F183</v>
      </c>
      <c r="F13" s="10">
        <v>10</v>
      </c>
      <c r="G13" s="3">
        <f ca="1">AVERAGEIFS('Wet-Dry Months'!$F$4:$F$541,'Wet-Dry Months'!$I$4:$I$541,'Final Grids'!G$3,'Wet-Dry Months'!$D$4:$D$541,'Final Grids'!$F13)</f>
        <v>191.55789076964714</v>
      </c>
      <c r="H13" s="3">
        <f ca="1">AVERAGEIFS('Wet-Dry Months'!$F$4:$F$541,'Wet-Dry Months'!$I$4:$I$541,'Final Grids'!H$3,'Wet-Dry Months'!$D$4:$D$541,'Final Grids'!$F13)</f>
        <v>91.207557322705171</v>
      </c>
      <c r="I13" s="3">
        <f ca="1">AVERAGEIFS('Wet-Dry Months'!$F$4:$F$541,'Wet-Dry Months'!$I$4:$I$541,'Final Grids'!I$3,'Wet-Dry Months'!$D$4:$D$541,'Final Grids'!$F13)</f>
        <v>28.475234530121373</v>
      </c>
      <c r="K13" s="33">
        <v>10</v>
      </c>
      <c r="L13" s="3">
        <f t="shared" ref="L13:N13" ca="1" si="9">IF(L51&lt;L83,L35,L67)</f>
        <v>193.88713460684801</v>
      </c>
      <c r="M13" s="3">
        <f t="shared" ca="1" si="9"/>
        <v>84.344506908979994</v>
      </c>
      <c r="N13" s="3">
        <f t="shared" ca="1" si="9"/>
        <v>35.554345958031803</v>
      </c>
      <c r="O13" s="41"/>
      <c r="P13" s="10">
        <v>10</v>
      </c>
      <c r="Q13" s="2">
        <f ca="1">VLOOKUP(L13,'Wet-Dry Months'!$F$3:$G$541,2,FALSE)</f>
        <v>2015</v>
      </c>
      <c r="R13" s="2">
        <f ca="1">VLOOKUP(M13,'Wet-Dry Months'!$F$3:$G$541,2,FALSE)</f>
        <v>2021</v>
      </c>
      <c r="S13" s="34">
        <f ca="1">VLOOKUP(N13,'Wet-Dry Months'!$F$3:$G$541,2,FALSE)</f>
        <v>2010</v>
      </c>
    </row>
    <row r="14" spans="3:19" x14ac:dyDescent="0.25">
      <c r="C14" s="2">
        <f>'Wet-Dry Months'!AG14</f>
        <v>184</v>
      </c>
      <c r="D14" s="2">
        <f>'Wet-Dry Months'!AH14</f>
        <v>201</v>
      </c>
      <c r="E14" s="22" t="str">
        <f>$C$1&amp;'Wet-Dry Months'!AI14</f>
        <v>'Wet-Dry Months'!F184:F201</v>
      </c>
      <c r="F14" s="10">
        <v>11</v>
      </c>
      <c r="G14" s="3">
        <f ca="1">AVERAGEIFS('Wet-Dry Months'!$F$4:$F$541,'Wet-Dry Months'!$I$4:$I$541,'Final Grids'!G$3,'Wet-Dry Months'!$D$4:$D$541,'Final Grids'!$F14)</f>
        <v>134.88239236203961</v>
      </c>
      <c r="H14" s="3">
        <f ca="1">AVERAGEIFS('Wet-Dry Months'!$F$4:$F$541,'Wet-Dry Months'!$I$4:$I$541,'Final Grids'!H$3,'Wet-Dry Months'!$D$4:$D$541,'Final Grids'!$F14)</f>
        <v>69.991235430204128</v>
      </c>
      <c r="I14" s="3">
        <f ca="1">AVERAGEIFS('Wet-Dry Months'!$F$4:$F$541,'Wet-Dry Months'!$I$4:$I$541,'Final Grids'!I$3,'Wet-Dry Months'!$D$4:$D$541,'Final Grids'!$F14)</f>
        <v>34.394428539269725</v>
      </c>
      <c r="K14" s="33">
        <v>11</v>
      </c>
      <c r="L14" s="3">
        <f t="shared" ref="L14:N14" ca="1" si="10">IF(L52&lt;L84,L36,L68)</f>
        <v>128.90125667872101</v>
      </c>
      <c r="M14" s="3">
        <f t="shared" ca="1" si="10"/>
        <v>70.123216617177405</v>
      </c>
      <c r="N14" s="3">
        <f t="shared" ca="1" si="10"/>
        <v>35.951627321742599</v>
      </c>
      <c r="O14" s="41"/>
      <c r="P14" s="10">
        <v>11</v>
      </c>
      <c r="Q14" s="2">
        <f ca="1">VLOOKUP(L14,'Wet-Dry Months'!$F$3:$G$541,2,FALSE)</f>
        <v>2010</v>
      </c>
      <c r="R14" s="2">
        <f ca="1">VLOOKUP(M14,'Wet-Dry Months'!$F$3:$G$541,2,FALSE)</f>
        <v>2008</v>
      </c>
      <c r="S14" s="34">
        <f ca="1">VLOOKUP(N14,'Wet-Dry Months'!$F$3:$G$541,2,FALSE)</f>
        <v>2012</v>
      </c>
    </row>
    <row r="15" spans="3:19" ht="15.75" thickBot="1" x14ac:dyDescent="0.3">
      <c r="C15" s="2">
        <f>'Wet-Dry Months'!AG15</f>
        <v>202</v>
      </c>
      <c r="D15" s="2">
        <f>'Wet-Dry Months'!AH15</f>
        <v>219</v>
      </c>
      <c r="E15" s="22" t="str">
        <f>$C$1&amp;'Wet-Dry Months'!AI15</f>
        <v>'Wet-Dry Months'!F202:F219</v>
      </c>
      <c r="F15" s="10">
        <v>12</v>
      </c>
      <c r="G15" s="3">
        <f ca="1">AVERAGEIFS('Wet-Dry Months'!$F$4:$F$541,'Wet-Dry Months'!$I$4:$I$541,'Final Grids'!G$3,'Wet-Dry Months'!$D$4:$D$541,'Final Grids'!$F15)</f>
        <v>191.24499224316901</v>
      </c>
      <c r="H15" s="3">
        <f ca="1">AVERAGEIFS('Wet-Dry Months'!$F$4:$F$541,'Wet-Dry Months'!$I$4:$I$541,'Final Grids'!H$3,'Wet-Dry Months'!$D$4:$D$541,'Final Grids'!$F15)</f>
        <v>112.7115996469275</v>
      </c>
      <c r="I15" s="3">
        <f ca="1">AVERAGEIFS('Wet-Dry Months'!$F$4:$F$541,'Wet-Dry Months'!$I$4:$I$541,'Final Grids'!I$3,'Wet-Dry Months'!$D$4:$D$541,'Final Grids'!$F15)</f>
        <v>76.77555408552135</v>
      </c>
      <c r="K15" s="35">
        <v>12</v>
      </c>
      <c r="L15" s="43">
        <f t="shared" ref="L15:N15" ca="1" si="11">IF(L53&lt;L85,L37,L69)</f>
        <v>183.04649252950901</v>
      </c>
      <c r="M15" s="43">
        <f t="shared" ca="1" si="11"/>
        <v>116.28624976427101</v>
      </c>
      <c r="N15" s="43">
        <f t="shared" ca="1" si="11"/>
        <v>72.129331679300606</v>
      </c>
      <c r="O15" s="40"/>
      <c r="P15" s="37">
        <v>12</v>
      </c>
      <c r="Q15" s="36">
        <f ca="1">VLOOKUP(L15,'Wet-Dry Months'!$F$3:$G$541,2,FALSE)</f>
        <v>2006</v>
      </c>
      <c r="R15" s="36">
        <f ca="1">VLOOKUP(M15,'Wet-Dry Months'!$F$3:$G$541,2,FALSE)</f>
        <v>2014</v>
      </c>
      <c r="S15" s="38">
        <f ca="1">VLOOKUP(N15,'Wet-Dry Months'!$F$3:$G$541,2,FALSE)</f>
        <v>2011</v>
      </c>
    </row>
    <row r="16" spans="3:19" ht="15.75" thickBot="1" x14ac:dyDescent="0.3"/>
    <row r="17" spans="5:14" x14ac:dyDescent="0.25">
      <c r="K17" s="77" t="s">
        <v>42</v>
      </c>
      <c r="L17" s="78"/>
      <c r="M17" s="78"/>
      <c r="N17" s="79"/>
    </row>
    <row r="18" spans="5:14" x14ac:dyDescent="0.25">
      <c r="K18" s="80"/>
      <c r="L18" s="81"/>
      <c r="M18" s="81"/>
      <c r="N18" s="82"/>
    </row>
    <row r="19" spans="5:14" x14ac:dyDescent="0.25">
      <c r="K19" s="80"/>
      <c r="L19" s="81"/>
      <c r="M19" s="81"/>
      <c r="N19" s="82"/>
    </row>
    <row r="20" spans="5:14" ht="15" customHeight="1" x14ac:dyDescent="0.25">
      <c r="E20" s="5"/>
      <c r="K20" s="80"/>
      <c r="L20" s="81"/>
      <c r="M20" s="81"/>
      <c r="N20" s="82"/>
    </row>
    <row r="21" spans="5:14" x14ac:dyDescent="0.25">
      <c r="K21" s="80"/>
      <c r="L21" s="81"/>
      <c r="M21" s="81"/>
      <c r="N21" s="82"/>
    </row>
    <row r="22" spans="5:14" ht="15.75" thickBot="1" x14ac:dyDescent="0.3">
      <c r="K22" s="83"/>
      <c r="L22" s="84"/>
      <c r="M22" s="84"/>
      <c r="N22" s="85"/>
    </row>
    <row r="24" spans="5:14" x14ac:dyDescent="0.25">
      <c r="K24" s="75" t="s">
        <v>43</v>
      </c>
      <c r="L24" s="75"/>
      <c r="M24" s="75"/>
      <c r="N24" s="75"/>
    </row>
    <row r="25" spans="5:14" x14ac:dyDescent="0.25">
      <c r="K25" s="45" t="s">
        <v>5</v>
      </c>
      <c r="L25" s="46" t="s">
        <v>25</v>
      </c>
      <c r="M25" s="46" t="s">
        <v>26</v>
      </c>
      <c r="N25" s="46" t="s">
        <v>27</v>
      </c>
    </row>
    <row r="26" spans="5:14" x14ac:dyDescent="0.25">
      <c r="K26" s="10">
        <v>1</v>
      </c>
      <c r="L26" s="3" cm="1">
        <f t="array" aca="1" ref="L26" ca="1">INDIRECT($C$1&amp;$E$1&amp;$C4-1+_xlfn.XMATCH(G4,INDIRECT($E4),-1))</f>
        <v>145.716848954439</v>
      </c>
      <c r="M26" s="3" cm="1">
        <f t="array" aca="1" ref="M26" ca="1">INDIRECT($C$1&amp;$E$1&amp;$C4-1+_xlfn.XMATCH(H4,INDIRECT($E4),-1))</f>
        <v>105.13069468006501</v>
      </c>
      <c r="N26" s="3" cm="1">
        <f t="array" aca="1" ref="N26" ca="1">INDIRECT($C$1&amp;$E$1&amp;$C4-1+_xlfn.XMATCH(I4,INDIRECT($E4),-1))</f>
        <v>63.552695042378197</v>
      </c>
    </row>
    <row r="27" spans="5:14" x14ac:dyDescent="0.25">
      <c r="K27" s="10">
        <v>2</v>
      </c>
      <c r="L27" s="3" cm="1">
        <f t="array" aca="1" ref="L27" ca="1">INDIRECT($C$1&amp;$E$1&amp;$C5-1+_xlfn.XMATCH(G5,INDIRECT($E5),-1))</f>
        <v>150.482790763373</v>
      </c>
      <c r="M27" s="3" cm="1">
        <f t="array" aca="1" ref="M27" ca="1">INDIRECT($C$1&amp;$E$1&amp;$C5-1+_xlfn.XMATCH(H5,INDIRECT($E5),-1))</f>
        <v>90.962622575394704</v>
      </c>
      <c r="N27" s="3" cm="1">
        <f t="array" aca="1" ref="N27" ca="1">INDIRECT($C$1&amp;$E$1&amp;$C5-1+_xlfn.XMATCH(I5,INDIRECT($E5),-1))</f>
        <v>52.845071973288398</v>
      </c>
    </row>
    <row r="28" spans="5:14" x14ac:dyDescent="0.25">
      <c r="K28" s="10">
        <v>3</v>
      </c>
      <c r="L28" s="3" cm="1">
        <f t="array" aca="1" ref="L28" ca="1">INDIRECT($C$1&amp;$E$1&amp;$C6-1+_xlfn.XMATCH(G6,INDIRECT($E6),-1))</f>
        <v>144.56980444062</v>
      </c>
      <c r="M28" s="3" cm="1">
        <f t="array" aca="1" ref="M28" ca="1">INDIRECT($C$1&amp;$E$1&amp;$C6-1+_xlfn.XMATCH(H6,INDIRECT($E6),-1))</f>
        <v>97.170448965533694</v>
      </c>
      <c r="N28" s="3" cm="1">
        <f t="array" aca="1" ref="N28" ca="1">INDIRECT($C$1&amp;$E$1&amp;$C6-1+_xlfn.XMATCH(I6,INDIRECT($E6),-1))</f>
        <v>46.2895654137278</v>
      </c>
    </row>
    <row r="29" spans="5:14" x14ac:dyDescent="0.25">
      <c r="K29" s="10">
        <v>4</v>
      </c>
      <c r="L29" s="3" cm="1">
        <f t="array" aca="1" ref="L29" ca="1">INDIRECT($C$1&amp;$E$1&amp;$C7-1+_xlfn.XMATCH(G7,INDIRECT($E7),-1))</f>
        <v>180.304339507641</v>
      </c>
      <c r="M29" s="3" cm="1">
        <f t="array" aca="1" ref="M29" ca="1">INDIRECT($C$1&amp;$E$1&amp;$C7-1+_xlfn.XMATCH(H7,INDIRECT($E7),-1))</f>
        <v>114.012933101665</v>
      </c>
      <c r="N29" s="3" cm="1">
        <f t="array" aca="1" ref="N29" ca="1">INDIRECT($C$1&amp;$E$1&amp;$C7-1+_xlfn.XMATCH(I7,INDIRECT($E7),-1))</f>
        <v>32.604745358109298</v>
      </c>
    </row>
    <row r="30" spans="5:14" x14ac:dyDescent="0.25">
      <c r="K30" s="10">
        <v>5</v>
      </c>
      <c r="L30" s="3" cm="1">
        <f t="array" aca="1" ref="L30" ca="1">INDIRECT($C$1&amp;$E$1&amp;$C8-1+_xlfn.XMATCH(G8,INDIRECT($E8),-1))</f>
        <v>193.09739453655001</v>
      </c>
      <c r="M30" s="3" cm="1">
        <f t="array" aca="1" ref="M30" ca="1">INDIRECT($C$1&amp;$E$1&amp;$C8-1+_xlfn.XMATCH(H8,INDIRECT($E8),-1))</f>
        <v>137.19521891729099</v>
      </c>
      <c r="N30" s="3" cm="1">
        <f t="array" aca="1" ref="N30" ca="1">INDIRECT($C$1&amp;$E$1&amp;$C8-1+_xlfn.XMATCH(I8,INDIRECT($E8),-1))</f>
        <v>67.343948772928499</v>
      </c>
    </row>
    <row r="31" spans="5:14" x14ac:dyDescent="0.25">
      <c r="K31" s="10">
        <v>6</v>
      </c>
      <c r="L31" s="3" cm="1">
        <f t="array" aca="1" ref="L31" ca="1">INDIRECT($C$1&amp;$E$1&amp;$C9-1+_xlfn.XMATCH(G9,INDIRECT($E9),-1))</f>
        <v>192.05578603356</v>
      </c>
      <c r="M31" s="3" cm="1">
        <f t="array" aca="1" ref="M31" ca="1">INDIRECT($C$1&amp;$E$1&amp;$C9-1+_xlfn.XMATCH(H9,INDIRECT($E9),-1))</f>
        <v>132.55114675051399</v>
      </c>
      <c r="N31" s="3" cm="1">
        <f t="array" aca="1" ref="N31" ca="1">INDIRECT($C$1&amp;$E$1&amp;$C9-1+_xlfn.XMATCH(I9,INDIRECT($E9),-1))</f>
        <v>84.480905730213905</v>
      </c>
    </row>
    <row r="32" spans="5:14" x14ac:dyDescent="0.25">
      <c r="K32" s="10">
        <v>7</v>
      </c>
      <c r="L32" s="3" cm="1">
        <f t="array" aca="1" ref="L32" ca="1">INDIRECT($C$1&amp;$E$1&amp;$C10-1+_xlfn.XMATCH(G10,INDIRECT($E10),-1))</f>
        <v>216.732273079029</v>
      </c>
      <c r="M32" s="3" cm="1">
        <f t="array" aca="1" ref="M32" ca="1">INDIRECT($C$1&amp;$E$1&amp;$C10-1+_xlfn.XMATCH(H10,INDIRECT($E10),-1))</f>
        <v>168.924525128955</v>
      </c>
      <c r="N32" s="3" cm="1">
        <f t="array" aca="1" ref="N32" ca="1">INDIRECT($C$1&amp;$E$1&amp;$C10-1+_xlfn.XMATCH(I10,INDIRECT($E10),-1))</f>
        <v>106.49715606625099</v>
      </c>
    </row>
    <row r="33" spans="11:14" x14ac:dyDescent="0.25">
      <c r="K33" s="10">
        <v>8</v>
      </c>
      <c r="L33" s="3" cm="1">
        <f t="array" aca="1" ref="L33" ca="1">INDIRECT($C$1&amp;$E$1&amp;$C11-1+_xlfn.XMATCH(G11,INDIRECT($E11),-1))</f>
        <v>271.99775084445901</v>
      </c>
      <c r="M33" s="3" cm="1">
        <f t="array" aca="1" ref="M33" ca="1">INDIRECT($C$1&amp;$E$1&amp;$C11-1+_xlfn.XMATCH(H11,INDIRECT($E11),-1))</f>
        <v>148.29094283185799</v>
      </c>
      <c r="N33" s="3" cm="1">
        <f t="array" aca="1" ref="N33" ca="1">INDIRECT($C$1&amp;$E$1&amp;$C11-1+_xlfn.XMATCH(I11,INDIRECT($E11),-1))</f>
        <v>54.425879555995799</v>
      </c>
    </row>
    <row r="34" spans="11:14" x14ac:dyDescent="0.25">
      <c r="K34" s="10">
        <v>9</v>
      </c>
      <c r="L34" s="3" cm="1">
        <f t="array" aca="1" ref="L34" ca="1">INDIRECT($C$1&amp;$E$1&amp;$C12-1+_xlfn.XMATCH(G12,INDIRECT($E12),-1))</f>
        <v>205.85763522196501</v>
      </c>
      <c r="M34" s="3" cm="1">
        <f t="array" aca="1" ref="M34" ca="1">INDIRECT($C$1&amp;$E$1&amp;$C12-1+_xlfn.XMATCH(H12,INDIRECT($E12),-1))</f>
        <v>113.146625379773</v>
      </c>
      <c r="N34" s="3" cm="1">
        <f t="array" aca="1" ref="N34" ca="1">INDIRECT($C$1&amp;$E$1&amp;$C12-1+_xlfn.XMATCH(I12,INDIRECT($E12),-1))</f>
        <v>49.027694666543702</v>
      </c>
    </row>
    <row r="35" spans="11:14" x14ac:dyDescent="0.25">
      <c r="K35" s="10">
        <v>10</v>
      </c>
      <c r="L35" s="3" cm="1">
        <f t="array" aca="1" ref="L35" ca="1">INDIRECT($C$1&amp;$E$1&amp;$C13-1+_xlfn.XMATCH(G13,INDIRECT($E13),-1))</f>
        <v>149.24153165138799</v>
      </c>
      <c r="M35" s="3" cm="1">
        <f t="array" aca="1" ref="M35" ca="1">INDIRECT($C$1&amp;$E$1&amp;$C13-1+_xlfn.XMATCH(H13,INDIRECT($E13),-1))</f>
        <v>84.344506908979994</v>
      </c>
      <c r="N35" s="3" cm="1">
        <f t="array" aca="1" ref="N35" ca="1">INDIRECT($C$1&amp;$E$1&amp;$C13-1+_xlfn.XMATCH(I13,INDIRECT($E13),-1))</f>
        <v>18.101239725746002</v>
      </c>
    </row>
    <row r="36" spans="11:14" x14ac:dyDescent="0.25">
      <c r="K36" s="10">
        <v>11</v>
      </c>
      <c r="L36" s="3" cm="1">
        <f t="array" aca="1" ref="L36" ca="1">INDIRECT($C$1&amp;$E$1&amp;$C14-1+_xlfn.XMATCH(G14,INDIRECT($E14),-1))</f>
        <v>128.90125667872101</v>
      </c>
      <c r="M36" s="3" cm="1">
        <f t="array" aca="1" ref="M36" ca="1">INDIRECT($C$1&amp;$E$1&amp;$C14-1+_xlfn.XMATCH(H14,INDIRECT($E14),-1))</f>
        <v>68.556446001582501</v>
      </c>
      <c r="N36" s="3" cm="1">
        <f t="array" aca="1" ref="N36" ca="1">INDIRECT($C$1&amp;$E$1&amp;$C14-1+_xlfn.XMATCH(I14,INDIRECT($E14),-1))</f>
        <v>27.1824452702974</v>
      </c>
    </row>
    <row r="37" spans="11:14" x14ac:dyDescent="0.25">
      <c r="K37" s="10">
        <v>12</v>
      </c>
      <c r="L37" s="3" cm="1">
        <f t="array" aca="1" ref="L37" ca="1">INDIRECT($C$1&amp;$E$1&amp;$C15-1+_xlfn.XMATCH(G15,INDIRECT($E15),-1))</f>
        <v>183.04649252950901</v>
      </c>
      <c r="M37" s="3" cm="1">
        <f t="array" aca="1" ref="M37" ca="1">INDIRECT($C$1&amp;$E$1&amp;$C15-1+_xlfn.XMATCH(H15,INDIRECT($E15),-1))</f>
        <v>108.67331378502701</v>
      </c>
      <c r="N37" s="3" cm="1">
        <f t="array" aca="1" ref="N37" ca="1">INDIRECT($C$1&amp;$E$1&amp;$C15-1+_xlfn.XMATCH(I15,INDIRECT($E15),-1))</f>
        <v>72.129331679300606</v>
      </c>
    </row>
    <row r="40" spans="11:14" x14ac:dyDescent="0.25">
      <c r="K40" s="75" t="s">
        <v>44</v>
      </c>
      <c r="L40" s="75"/>
      <c r="M40" s="75"/>
      <c r="N40" s="75"/>
    </row>
    <row r="41" spans="11:14" x14ac:dyDescent="0.25">
      <c r="K41" s="45" t="s">
        <v>5</v>
      </c>
      <c r="L41" s="46" t="s">
        <v>25</v>
      </c>
      <c r="M41" s="46" t="s">
        <v>26</v>
      </c>
      <c r="N41" s="46" t="s">
        <v>27</v>
      </c>
    </row>
    <row r="42" spans="11:14" x14ac:dyDescent="0.25">
      <c r="K42" s="10">
        <v>1</v>
      </c>
      <c r="L42" s="3">
        <f ca="1">G4-L26</f>
        <v>15.924465148063149</v>
      </c>
      <c r="M42" s="3">
        <f t="shared" ref="M42:N42" ca="1" si="12">H4-M26</f>
        <v>1.0442020201117543</v>
      </c>
      <c r="N42" s="3">
        <f t="shared" ca="1" si="12"/>
        <v>5.0748731440189445</v>
      </c>
    </row>
    <row r="43" spans="11:14" x14ac:dyDescent="0.25">
      <c r="K43" s="10">
        <v>2</v>
      </c>
      <c r="L43" s="3">
        <f t="shared" ref="L43:L53" ca="1" si="13">G5-L27</f>
        <v>5.246699261441421</v>
      </c>
      <c r="M43" s="3">
        <f t="shared" ref="M43:M53" ca="1" si="14">H5-M27</f>
        <v>2.7238895351792394</v>
      </c>
      <c r="N43" s="3">
        <f t="shared" ref="N43:N53" ca="1" si="15">I5-N27</f>
        <v>7.8154863032835848</v>
      </c>
    </row>
    <row r="44" spans="11:14" x14ac:dyDescent="0.25">
      <c r="K44" s="10">
        <v>3</v>
      </c>
      <c r="L44" s="3">
        <f t="shared" ca="1" si="13"/>
        <v>20.884052133719791</v>
      </c>
      <c r="M44" s="3">
        <f t="shared" ca="1" si="14"/>
        <v>3.1106330785347751</v>
      </c>
      <c r="N44" s="3">
        <f t="shared" ca="1" si="15"/>
        <v>3.6933062820987743</v>
      </c>
    </row>
    <row r="45" spans="11:14" x14ac:dyDescent="0.25">
      <c r="K45" s="10">
        <v>4</v>
      </c>
      <c r="L45" s="3">
        <f t="shared" ca="1" si="13"/>
        <v>9.893938459416006</v>
      </c>
      <c r="M45" s="3">
        <f t="shared" ca="1" si="14"/>
        <v>2.2329261349891567</v>
      </c>
      <c r="N45" s="3">
        <f t="shared" ca="1" si="15"/>
        <v>30.025287390405595</v>
      </c>
    </row>
    <row r="46" spans="11:14" x14ac:dyDescent="0.25">
      <c r="K46" s="10">
        <v>5</v>
      </c>
      <c r="L46" s="3">
        <f t="shared" ca="1" si="13"/>
        <v>10.775380211529324</v>
      </c>
      <c r="M46" s="3">
        <f t="shared" ca="1" si="14"/>
        <v>4.0910701119045996</v>
      </c>
      <c r="N46" s="3">
        <f t="shared" ca="1" si="15"/>
        <v>14.045757704736943</v>
      </c>
    </row>
    <row r="47" spans="11:14" x14ac:dyDescent="0.25">
      <c r="K47" s="10">
        <v>6</v>
      </c>
      <c r="L47" s="3">
        <f t="shared" ca="1" si="13"/>
        <v>8.287976179629851</v>
      </c>
      <c r="M47" s="3">
        <f t="shared" ca="1" si="14"/>
        <v>0.27289041039625772</v>
      </c>
      <c r="N47" s="3">
        <f t="shared" ca="1" si="15"/>
        <v>3.5620760508237481</v>
      </c>
    </row>
    <row r="48" spans="11:14" x14ac:dyDescent="0.25">
      <c r="K48" s="10">
        <v>7</v>
      </c>
      <c r="L48" s="3">
        <f t="shared" ca="1" si="13"/>
        <v>0.1762389007602394</v>
      </c>
      <c r="M48" s="3">
        <f t="shared" ca="1" si="14"/>
        <v>5.1027616486496754</v>
      </c>
      <c r="N48" s="3">
        <f t="shared" ca="1" si="15"/>
        <v>12.682139197869262</v>
      </c>
    </row>
    <row r="49" spans="11:14" x14ac:dyDescent="0.25">
      <c r="K49" s="10">
        <v>8</v>
      </c>
      <c r="L49" s="3">
        <f t="shared" ca="1" si="13"/>
        <v>2.4169615038526899</v>
      </c>
      <c r="M49" s="3">
        <f t="shared" ca="1" si="14"/>
        <v>6.9767523338985029</v>
      </c>
      <c r="N49" s="3">
        <f t="shared" ca="1" si="15"/>
        <v>33.246708137238706</v>
      </c>
    </row>
    <row r="50" spans="11:14" x14ac:dyDescent="0.25">
      <c r="K50" s="10">
        <v>9</v>
      </c>
      <c r="L50" s="3">
        <f t="shared" ca="1" si="13"/>
        <v>6.6798737098783363</v>
      </c>
      <c r="M50" s="3">
        <f t="shared" ca="1" si="14"/>
        <v>3.9541913748967232</v>
      </c>
      <c r="N50" s="3">
        <f t="shared" ca="1" si="15"/>
        <v>14.715752404588144</v>
      </c>
    </row>
    <row r="51" spans="11:14" x14ac:dyDescent="0.25">
      <c r="K51" s="10">
        <v>10</v>
      </c>
      <c r="L51" s="3">
        <f t="shared" ca="1" si="13"/>
        <v>42.316359118259157</v>
      </c>
      <c r="M51" s="3">
        <f t="shared" ca="1" si="14"/>
        <v>6.8630504137251762</v>
      </c>
      <c r="N51" s="3">
        <f t="shared" ca="1" si="15"/>
        <v>10.373994804375371</v>
      </c>
    </row>
    <row r="52" spans="11:14" x14ac:dyDescent="0.25">
      <c r="K52" s="10">
        <v>11</v>
      </c>
      <c r="L52" s="3">
        <f t="shared" ca="1" si="13"/>
        <v>5.9811356833185982</v>
      </c>
      <c r="M52" s="3">
        <f t="shared" ca="1" si="14"/>
        <v>1.4347894286216274</v>
      </c>
      <c r="N52" s="3">
        <f t="shared" ca="1" si="15"/>
        <v>7.2119832689723253</v>
      </c>
    </row>
    <row r="53" spans="11:14" x14ac:dyDescent="0.25">
      <c r="K53" s="10">
        <v>12</v>
      </c>
      <c r="L53" s="3">
        <f t="shared" ca="1" si="13"/>
        <v>8.1984997136599986</v>
      </c>
      <c r="M53" s="3">
        <f t="shared" ca="1" si="14"/>
        <v>4.0382858619004907</v>
      </c>
      <c r="N53" s="3">
        <f t="shared" ca="1" si="15"/>
        <v>4.646222406220744</v>
      </c>
    </row>
    <row r="56" spans="11:14" x14ac:dyDescent="0.25">
      <c r="K56" s="75" t="s">
        <v>45</v>
      </c>
      <c r="L56" s="75"/>
      <c r="M56" s="75"/>
      <c r="N56" s="75"/>
    </row>
    <row r="57" spans="11:14" x14ac:dyDescent="0.25">
      <c r="K57" s="45" t="s">
        <v>5</v>
      </c>
      <c r="L57" s="46" t="s">
        <v>25</v>
      </c>
      <c r="M57" s="46" t="s">
        <v>26</v>
      </c>
      <c r="N57" s="46" t="s">
        <v>27</v>
      </c>
    </row>
    <row r="58" spans="11:14" x14ac:dyDescent="0.25">
      <c r="K58" s="10">
        <v>1</v>
      </c>
      <c r="L58" s="3" cm="1">
        <f t="array" aca="1" ref="L58" ca="1">INDIRECT($C$1&amp;$E$1&amp;$C4-1+_xlfn.XMATCH(G4,INDIRECT($E4),1))</f>
        <v>164.38120084531801</v>
      </c>
      <c r="M58" s="3" cm="1">
        <f t="array" aca="1" ref="M58" ca="1">INDIRECT($C$1&amp;$E$1&amp;$C4-1+_xlfn.XMATCH(H4,INDIRECT($E4),1))</f>
        <v>107.815880542842</v>
      </c>
      <c r="N58" s="3" cm="1">
        <f t="array" aca="1" ref="N58" ca="1">INDIRECT($C$1&amp;$E$1&amp;$C4-1+_xlfn.XMATCH(I4,INDIRECT($E4),1))</f>
        <v>75.157683643224303</v>
      </c>
    </row>
    <row r="59" spans="11:14" x14ac:dyDescent="0.25">
      <c r="K59" s="10">
        <v>2</v>
      </c>
      <c r="L59" s="3" cm="1">
        <f t="array" aca="1" ref="L59" ca="1">INDIRECT($C$1&amp;$E$1&amp;$C5-1+_xlfn.XMATCH(G5,INDIRECT($E5),1))</f>
        <v>160.06426473666599</v>
      </c>
      <c r="M59" s="3" cm="1">
        <f t="array" aca="1" ref="M59" ca="1">INDIRECT($C$1&amp;$E$1&amp;$C5-1+_xlfn.XMATCH(H5,INDIRECT($E5),1))</f>
        <v>98.333631273437305</v>
      </c>
      <c r="N59" s="3" cm="1">
        <f t="array" aca="1" ref="N59" ca="1">INDIRECT($C$1&amp;$E$1&amp;$C5-1+_xlfn.XMATCH(I5,INDIRECT($E5),1))</f>
        <v>67.005375800010995</v>
      </c>
    </row>
    <row r="60" spans="11:14" x14ac:dyDescent="0.25">
      <c r="K60" s="10">
        <v>3</v>
      </c>
      <c r="L60" s="3" cm="1">
        <f t="array" aca="1" ref="L60" ca="1">INDIRECT($C$1&amp;$E$1&amp;$C6-1+_xlfn.XMATCH(G6,INDIRECT($E6),1))</f>
        <v>170.16263778233201</v>
      </c>
      <c r="M60" s="3" cm="1">
        <f t="array" aca="1" ref="M60" ca="1">INDIRECT($C$1&amp;$E$1&amp;$C6-1+_xlfn.XMATCH(H6,INDIRECT($E6),1))</f>
        <v>108.538343781167</v>
      </c>
      <c r="N60" s="3" cm="1">
        <f t="array" aca="1" ref="N60" ca="1">INDIRECT($C$1&amp;$E$1&amp;$C6-1+_xlfn.XMATCH(I6,INDIRECT($E6),1))</f>
        <v>63.049563240666302</v>
      </c>
    </row>
    <row r="61" spans="11:14" x14ac:dyDescent="0.25">
      <c r="K61" s="10">
        <v>4</v>
      </c>
      <c r="L61" s="3" cm="1">
        <f t="array" aca="1" ref="L61" ca="1">INDIRECT($C$1&amp;$E$1&amp;$C7-1+_xlfn.XMATCH(G7,INDIRECT($E7),1))</f>
        <v>226.62825838362301</v>
      </c>
      <c r="M61" s="3" cm="1">
        <f t="array" aca="1" ref="M61" ca="1">INDIRECT($C$1&amp;$E$1&amp;$C7-1+_xlfn.XMATCH(H7,INDIRECT($E7),1))</f>
        <v>117.58415086941</v>
      </c>
      <c r="N61" s="3" cm="1">
        <f t="array" aca="1" ref="N61" ca="1">INDIRECT($C$1&amp;$E$1&amp;$C7-1+_xlfn.XMATCH(I7,INDIRECT($E7),1))</f>
        <v>69.717565737328997</v>
      </c>
    </row>
    <row r="62" spans="11:14" x14ac:dyDescent="0.25">
      <c r="K62" s="10">
        <v>5</v>
      </c>
      <c r="L62" s="3" cm="1">
        <f t="array" aca="1" ref="L62" ca="1">INDIRECT($C$1&amp;$E$1&amp;$C8-1+_xlfn.XMATCH(G8,INDIRECT($E8),1))</f>
        <v>233.89715923981899</v>
      </c>
      <c r="M62" s="3" cm="1">
        <f t="array" aca="1" ref="M62" ca="1">INDIRECT($C$1&amp;$E$1&amp;$C8-1+_xlfn.XMATCH(H8,INDIRECT($E8),1))</f>
        <v>141.80286867385499</v>
      </c>
      <c r="N62" s="3" cm="1">
        <f t="array" aca="1" ref="N62" ca="1">INDIRECT($C$1&amp;$E$1&amp;$C8-1+_xlfn.XMATCH(I8,INDIRECT($E8),1))</f>
        <v>86.080787801706705</v>
      </c>
    </row>
    <row r="63" spans="11:14" x14ac:dyDescent="0.25">
      <c r="K63" s="10">
        <v>6</v>
      </c>
      <c r="L63" s="3" cm="1">
        <f t="array" aca="1" ref="L63" ca="1">INDIRECT($C$1&amp;$E$1&amp;$C9-1+_xlfn.XMATCH(G9,INDIRECT($E9),1))</f>
        <v>247.64776929023401</v>
      </c>
      <c r="M63" s="3" cm="1">
        <f t="array" aca="1" ref="M63" ca="1">INDIRECT($C$1&amp;$E$1&amp;$C9-1+_xlfn.XMATCH(H9,INDIRECT($E9),1))</f>
        <v>140.76230261459901</v>
      </c>
      <c r="N63" s="3" cm="1">
        <f t="array" aca="1" ref="N63" ca="1">INDIRECT($C$1&amp;$E$1&amp;$C9-1+_xlfn.XMATCH(I9,INDIRECT($E9),1))</f>
        <v>97.680807739548399</v>
      </c>
    </row>
    <row r="64" spans="11:14" x14ac:dyDescent="0.25">
      <c r="K64" s="10">
        <v>7</v>
      </c>
      <c r="L64" s="3" cm="1">
        <f t="array" aca="1" ref="L64" ca="1">INDIRECT($C$1&amp;$E$1&amp;$C10-1+_xlfn.XMATCH(G10,INDIRECT($E10),1))</f>
        <v>216.98352305886399</v>
      </c>
      <c r="M64" s="3" cm="1">
        <f t="array" aca="1" ref="M64" ca="1">INDIRECT($C$1&amp;$E$1&amp;$C10-1+_xlfn.XMATCH(H10,INDIRECT($E10),1))</f>
        <v>188.20053518391899</v>
      </c>
      <c r="N64" s="3" cm="1">
        <f t="array" aca="1" ref="N64" ca="1">INDIRECT($C$1&amp;$E$1&amp;$C10-1+_xlfn.XMATCH(I10,INDIRECT($E10),1))</f>
        <v>128.01322723478299</v>
      </c>
    </row>
    <row r="65" spans="11:14" x14ac:dyDescent="0.25">
      <c r="K65" s="10">
        <v>8</v>
      </c>
      <c r="L65" s="3" cm="1">
        <f t="array" aca="1" ref="L65" ca="1">INDIRECT($C$1&amp;$E$1&amp;$C11-1+_xlfn.XMATCH(G11,INDIRECT($E11),1))</f>
        <v>328.25298844815501</v>
      </c>
      <c r="M65" s="3" cm="1">
        <f t="array" aca="1" ref="M65" ca="1">INDIRECT($C$1&amp;$E$1&amp;$C11-1+_xlfn.XMATCH(H11,INDIRECT($E11),1))</f>
        <v>185.632387380051</v>
      </c>
      <c r="N65" s="3" cm="1">
        <f t="array" aca="1" ref="N65" ca="1">INDIRECT($C$1&amp;$E$1&amp;$C11-1+_xlfn.XMATCH(I11,INDIRECT($E11),1))</f>
        <v>96.682842243272603</v>
      </c>
    </row>
    <row r="66" spans="11:14" x14ac:dyDescent="0.25">
      <c r="K66" s="10">
        <v>9</v>
      </c>
      <c r="L66" s="3" cm="1">
        <f t="array" aca="1" ref="L66" ca="1">INDIRECT($C$1&amp;$E$1&amp;$C12-1+_xlfn.XMATCH(G12,INDIRECT($E12),1))</f>
        <v>239.43420656064899</v>
      </c>
      <c r="M66" s="3" cm="1">
        <f t="array" aca="1" ref="M66" ca="1">INDIRECT($C$1&amp;$E$1&amp;$C12-1+_xlfn.XMATCH(H12,INDIRECT($E12),1))</f>
        <v>123.633354940601</v>
      </c>
      <c r="N66" s="3" cm="1">
        <f t="array" aca="1" ref="N66" ca="1">INDIRECT($C$1&amp;$E$1&amp;$C12-1+_xlfn.XMATCH(I12,INDIRECT($E12),1))</f>
        <v>63.935120785916503</v>
      </c>
    </row>
    <row r="67" spans="11:14" x14ac:dyDescent="0.25">
      <c r="K67" s="10">
        <v>10</v>
      </c>
      <c r="L67" s="3" cm="1">
        <f t="array" aca="1" ref="L67" ca="1">INDIRECT($C$1&amp;$E$1&amp;$C13-1+_xlfn.XMATCH(G13,INDIRECT($E13),1))</f>
        <v>193.88713460684801</v>
      </c>
      <c r="M67" s="3" cm="1">
        <f t="array" aca="1" ref="M67" ca="1">INDIRECT($C$1&amp;$E$1&amp;$C13-1+_xlfn.XMATCH(H13,INDIRECT($E13),1))</f>
        <v>99.037375155183696</v>
      </c>
      <c r="N67" s="3" cm="1">
        <f t="array" aca="1" ref="N67" ca="1">INDIRECT($C$1&amp;$E$1&amp;$C13-1+_xlfn.XMATCH(I13,INDIRECT($E13),1))</f>
        <v>35.554345958031803</v>
      </c>
    </row>
    <row r="68" spans="11:14" x14ac:dyDescent="0.25">
      <c r="K68" s="10">
        <v>11</v>
      </c>
      <c r="L68" s="3" cm="1">
        <f t="array" aca="1" ref="L68" ca="1">INDIRECT($C$1&amp;$E$1&amp;$C14-1+_xlfn.XMATCH(G14,INDIRECT($E14),1))</f>
        <v>155.34795855135599</v>
      </c>
      <c r="M68" s="3" cm="1">
        <f t="array" aca="1" ref="M68" ca="1">INDIRECT($C$1&amp;$E$1&amp;$C14-1+_xlfn.XMATCH(H14,INDIRECT($E14),1))</f>
        <v>70.123216617177405</v>
      </c>
      <c r="N68" s="3" cm="1">
        <f t="array" aca="1" ref="N68" ca="1">INDIRECT($C$1&amp;$E$1&amp;$C14-1+_xlfn.XMATCH(I14,INDIRECT($E14),1))</f>
        <v>35.951627321742599</v>
      </c>
    </row>
    <row r="69" spans="11:14" x14ac:dyDescent="0.25">
      <c r="K69" s="10">
        <v>12</v>
      </c>
      <c r="L69" s="3" cm="1">
        <f t="array" aca="1" ref="L69" ca="1">INDIRECT($C$1&amp;$E$1&amp;$C15-1+_xlfn.XMATCH(G15,INDIRECT($E15),1))</f>
        <v>213.5103574849</v>
      </c>
      <c r="M69" s="3" cm="1">
        <f t="array" aca="1" ref="M69" ca="1">INDIRECT($C$1&amp;$E$1&amp;$C15-1+_xlfn.XMATCH(H15,INDIRECT($E15),1))</f>
        <v>116.28624976427101</v>
      </c>
      <c r="N69" s="3" cm="1">
        <f t="array" aca="1" ref="N69" ca="1">INDIRECT($C$1&amp;$E$1&amp;$C15-1+_xlfn.XMATCH(I15,INDIRECT($E15),1))</f>
        <v>92.875701925261396</v>
      </c>
    </row>
    <row r="72" spans="11:14" x14ac:dyDescent="0.25">
      <c r="K72" s="75" t="s">
        <v>46</v>
      </c>
      <c r="L72" s="75"/>
      <c r="M72" s="75"/>
      <c r="N72" s="75"/>
    </row>
    <row r="73" spans="11:14" x14ac:dyDescent="0.25">
      <c r="K73" s="45" t="s">
        <v>5</v>
      </c>
      <c r="L73" s="46" t="s">
        <v>25</v>
      </c>
      <c r="M73" s="46" t="s">
        <v>26</v>
      </c>
      <c r="N73" s="46" t="s">
        <v>27</v>
      </c>
    </row>
    <row r="74" spans="11:14" x14ac:dyDescent="0.25">
      <c r="K74" s="10">
        <v>1</v>
      </c>
      <c r="L74" s="3">
        <f ca="1">L58-G4</f>
        <v>2.7398867428158553</v>
      </c>
      <c r="M74" s="3">
        <f t="shared" ref="M74:N74" ca="1" si="16">M58-H4</f>
        <v>1.6409838426652357</v>
      </c>
      <c r="N74" s="3">
        <f t="shared" ca="1" si="16"/>
        <v>6.5301154568271613</v>
      </c>
    </row>
    <row r="75" spans="11:14" x14ac:dyDescent="0.25">
      <c r="K75" s="10">
        <v>2</v>
      </c>
      <c r="L75" s="3">
        <f t="shared" ref="L75:L85" ca="1" si="17">L59-G5</f>
        <v>4.3347747118515656</v>
      </c>
      <c r="M75" s="3">
        <f t="shared" ref="M75:M85" ca="1" si="18">M59-H5</f>
        <v>4.6471191628633619</v>
      </c>
      <c r="N75" s="3">
        <f t="shared" ref="N75:N85" ca="1" si="19">N59-I5</f>
        <v>6.3448175234390121</v>
      </c>
    </row>
    <row r="76" spans="11:14" x14ac:dyDescent="0.25">
      <c r="K76" s="10">
        <v>3</v>
      </c>
      <c r="L76" s="3">
        <f t="shared" ca="1" si="17"/>
        <v>4.7087812079922173</v>
      </c>
      <c r="M76" s="3">
        <f t="shared" ca="1" si="18"/>
        <v>8.2572617370985313</v>
      </c>
      <c r="N76" s="3">
        <f t="shared" ca="1" si="19"/>
        <v>13.066691544839728</v>
      </c>
    </row>
    <row r="77" spans="11:14" x14ac:dyDescent="0.25">
      <c r="K77" s="10">
        <v>4</v>
      </c>
      <c r="L77" s="3">
        <f t="shared" ca="1" si="17"/>
        <v>36.429980416565996</v>
      </c>
      <c r="M77" s="3">
        <f t="shared" ca="1" si="18"/>
        <v>1.3382916327558405</v>
      </c>
      <c r="N77" s="3">
        <f t="shared" ca="1" si="19"/>
        <v>7.0875329888141039</v>
      </c>
    </row>
    <row r="78" spans="11:14" x14ac:dyDescent="0.25">
      <c r="K78" s="10">
        <v>5</v>
      </c>
      <c r="L78" s="3">
        <f t="shared" ca="1" si="17"/>
        <v>30.024384491739653</v>
      </c>
      <c r="M78" s="3">
        <f t="shared" ca="1" si="18"/>
        <v>0.51657964465940154</v>
      </c>
      <c r="N78" s="3">
        <f t="shared" ca="1" si="19"/>
        <v>4.6910813240412637</v>
      </c>
    </row>
    <row r="79" spans="11:14" x14ac:dyDescent="0.25">
      <c r="K79" s="10">
        <v>6</v>
      </c>
      <c r="L79" s="3">
        <f t="shared" ca="1" si="17"/>
        <v>47.304007077044162</v>
      </c>
      <c r="M79" s="3">
        <f t="shared" ca="1" si="18"/>
        <v>7.9382654536887571</v>
      </c>
      <c r="N79" s="3">
        <f t="shared" ca="1" si="19"/>
        <v>9.6378259585107457</v>
      </c>
    </row>
    <row r="80" spans="11:14" x14ac:dyDescent="0.25">
      <c r="K80" s="10">
        <v>7</v>
      </c>
      <c r="L80" s="3">
        <f t="shared" ca="1" si="17"/>
        <v>7.5011079074755571E-2</v>
      </c>
      <c r="M80" s="3">
        <f t="shared" ca="1" si="18"/>
        <v>14.173248406314315</v>
      </c>
      <c r="N80" s="3">
        <f t="shared" ca="1" si="19"/>
        <v>8.8339319706627322</v>
      </c>
    </row>
    <row r="81" spans="11:14" x14ac:dyDescent="0.25">
      <c r="K81" s="10">
        <v>8</v>
      </c>
      <c r="L81" s="3">
        <f t="shared" ca="1" si="17"/>
        <v>53.838276099843313</v>
      </c>
      <c r="M81" s="3">
        <f t="shared" ca="1" si="18"/>
        <v>30.364692214294507</v>
      </c>
      <c r="N81" s="3">
        <f t="shared" ca="1" si="19"/>
        <v>9.0102545500380984</v>
      </c>
    </row>
    <row r="82" spans="11:14" x14ac:dyDescent="0.25">
      <c r="K82" s="10">
        <v>9</v>
      </c>
      <c r="L82" s="3">
        <f t="shared" ca="1" si="17"/>
        <v>26.89669762880564</v>
      </c>
      <c r="M82" s="3">
        <f t="shared" ca="1" si="18"/>
        <v>6.5325381859312728</v>
      </c>
      <c r="N82" s="3">
        <f t="shared" ca="1" si="19"/>
        <v>0.19167371478465611</v>
      </c>
    </row>
    <row r="83" spans="11:14" x14ac:dyDescent="0.25">
      <c r="K83" s="10">
        <v>10</v>
      </c>
      <c r="L83" s="3">
        <f t="shared" ca="1" si="17"/>
        <v>2.3292438372008633</v>
      </c>
      <c r="M83" s="3">
        <f t="shared" ca="1" si="18"/>
        <v>7.8298178324785255</v>
      </c>
      <c r="N83" s="3">
        <f t="shared" ca="1" si="19"/>
        <v>7.0791114279104299</v>
      </c>
    </row>
    <row r="84" spans="11:14" x14ac:dyDescent="0.25">
      <c r="K84" s="10">
        <v>11</v>
      </c>
      <c r="L84" s="3">
        <f t="shared" ca="1" si="17"/>
        <v>20.465566189316377</v>
      </c>
      <c r="M84" s="3">
        <f t="shared" ca="1" si="18"/>
        <v>0.13198118697327743</v>
      </c>
      <c r="N84" s="3">
        <f t="shared" ca="1" si="19"/>
        <v>1.5571987824728737</v>
      </c>
    </row>
    <row r="85" spans="11:14" x14ac:dyDescent="0.25">
      <c r="K85" s="10">
        <v>12</v>
      </c>
      <c r="L85" s="3">
        <f t="shared" ca="1" si="17"/>
        <v>22.26536524173099</v>
      </c>
      <c r="M85" s="3">
        <f t="shared" ca="1" si="18"/>
        <v>3.5746501173435092</v>
      </c>
      <c r="N85" s="3">
        <f t="shared" ca="1" si="19"/>
        <v>16.100147839740046</v>
      </c>
    </row>
  </sheetData>
  <mergeCells count="9">
    <mergeCell ref="K72:N72"/>
    <mergeCell ref="K17:N22"/>
    <mergeCell ref="F2:I2"/>
    <mergeCell ref="P2:S2"/>
    <mergeCell ref="K24:N24"/>
    <mergeCell ref="C2:E3"/>
    <mergeCell ref="K56:N56"/>
    <mergeCell ref="K2:N2"/>
    <mergeCell ref="K40:N40"/>
  </mergeCells>
  <pageMargins left="0.7" right="0.7" top="0.75" bottom="0.75" header="0.3" footer="0.3"/>
  <drawing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C3B2B7B0411584FB58A39061910A5C5" ma:contentTypeVersion="15" ma:contentTypeDescription="Create a new document." ma:contentTypeScope="" ma:versionID="00aeadf262026194a3bce7b1afc63779">
  <xsd:schema xmlns:xsd="http://www.w3.org/2001/XMLSchema" xmlns:xs="http://www.w3.org/2001/XMLSchema" xmlns:p="http://schemas.microsoft.com/office/2006/metadata/properties" xmlns:ns2="9943cf8f-bb16-4989-a532-cd1ba5708ab9" xmlns:ns3="aa073cf5-c8b6-4cc9-a14b-1343e53c7331" targetNamespace="http://schemas.microsoft.com/office/2006/metadata/properties" ma:root="true" ma:fieldsID="99b5d5f8ad119e8d792a2e67ecde2ddb" ns2:_="" ns3:_="">
    <xsd:import namespace="9943cf8f-bb16-4989-a532-cd1ba5708ab9"/>
    <xsd:import namespace="aa073cf5-c8b6-4cc9-a14b-1343e53c733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OCR" minOccurs="0"/>
                <xsd:element ref="ns2:MediaLengthInSeconds" minOccurs="0"/>
                <xsd:element ref="ns2:MediaServiceLocation" minOccurs="0"/>
                <xsd:element ref="ns2:DatePresented" minOccurs="0"/>
                <xsd:element ref="ns2:MainAudience"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943cf8f-bb16-4989-a532-cd1ba5708ab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b0ce98bd-ac35-4508-bf24-f37e01e7df92"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LengthInSeconds" ma:index="18" nillable="true" ma:displayName="MediaLengthInSeconds" ma:hidden="true" ma:internalName="MediaLengthInSeconds" ma:readOnly="true">
      <xsd:simpleType>
        <xsd:restriction base="dms:Unknown"/>
      </xsd:simpleType>
    </xsd:element>
    <xsd:element name="MediaServiceLocation" ma:index="19" nillable="true" ma:displayName="Location" ma:indexed="true" ma:internalName="MediaServiceLocation" ma:readOnly="true">
      <xsd:simpleType>
        <xsd:restriction base="dms:Text"/>
      </xsd:simpleType>
    </xsd:element>
    <xsd:element name="DatePresented" ma:index="20" nillable="true" ma:displayName="Date Presented" ma:description="The date the presentation was given, not the date the file was created or last saved" ma:format="DateOnly" ma:internalName="DatePresented">
      <xsd:simpleType>
        <xsd:restriction base="dms:DateTime"/>
      </xsd:simpleType>
    </xsd:element>
    <xsd:element name="MainAudience" ma:index="21" nillable="true" ma:displayName="Main Audience" ma:description="Choose from public, specialty group, CPRA General, CPRA Exec, RW, CAT, CEW, PM-TAC, MP Team" ma:format="Dropdown" ma:internalName="MainAudience">
      <xsd:simpleType>
        <xsd:union memberTypes="dms:Text">
          <xsd:simpleType>
            <xsd:restriction base="dms:Choice">
              <xsd:enumeration value="Public"/>
              <xsd:enumeration value="Specialty Group"/>
              <xsd:enumeration value="CPRA General"/>
              <xsd:enumeration value="CPRA Exec"/>
              <xsd:enumeration value="RWs"/>
              <xsd:enumeration value="CAT"/>
              <xsd:enumeration value="CEW"/>
              <xsd:enumeration value="PM-TAC"/>
              <xsd:enumeration value="MP Team"/>
            </xsd:restriction>
          </xsd:simpleType>
        </xsd:union>
      </xsd:simpleType>
    </xsd:element>
    <xsd:element name="MediaServiceBillingMetadata" ma:index="22"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a073cf5-c8b6-4cc9-a14b-1343e53c7331"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afbf7f65-b6a8-413b-8cd1-40449736103b}" ma:internalName="TaxCatchAll" ma:showField="CatchAllData" ma:web="aa073cf5-c8b6-4cc9-a14b-1343e53c733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aa073cf5-c8b6-4cc9-a14b-1343e53c7331" xsi:nil="true"/>
    <lcf76f155ced4ddcb4097134ff3c332f xmlns="9943cf8f-bb16-4989-a532-cd1ba5708ab9">
      <Terms xmlns="http://schemas.microsoft.com/office/infopath/2007/PartnerControls"/>
    </lcf76f155ced4ddcb4097134ff3c332f>
    <DatePresented xmlns="9943cf8f-bb16-4989-a532-cd1ba5708ab9" xsi:nil="true"/>
    <MainAudience xmlns="9943cf8f-bb16-4989-a532-cd1ba5708ab9" xsi:nil="true"/>
  </documentManagement>
</p:properties>
</file>

<file path=customXml/itemProps1.xml><?xml version="1.0" encoding="utf-8"?>
<ds:datastoreItem xmlns:ds="http://schemas.openxmlformats.org/officeDocument/2006/customXml" ds:itemID="{7376ABEE-D079-4877-873B-FCC87991D40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943cf8f-bb16-4989-a532-cd1ba5708ab9"/>
    <ds:schemaRef ds:uri="aa073cf5-c8b6-4cc9-a14b-1343e53c733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B29FA23-C65B-4A8E-BF13-A5E37C938406}">
  <ds:schemaRefs>
    <ds:schemaRef ds:uri="http://schemas.microsoft.com/sharepoint/v3/contenttype/forms"/>
  </ds:schemaRefs>
</ds:datastoreItem>
</file>

<file path=customXml/itemProps3.xml><?xml version="1.0" encoding="utf-8"?>
<ds:datastoreItem xmlns:ds="http://schemas.openxmlformats.org/officeDocument/2006/customXml" ds:itemID="{10CF3665-D69F-4FDA-8BDE-1587D562B80B}">
  <ds:schemaRefs>
    <ds:schemaRef ds:uri="http://schemas.microsoft.com/office/2006/metadata/properties"/>
    <ds:schemaRef ds:uri="aa073cf5-c8b6-4cc9-a14b-1343e53c7331"/>
    <ds:schemaRef ds:uri="http://purl.org/dc/elements/1.1/"/>
    <ds:schemaRef ds:uri="http://schemas.openxmlformats.org/package/2006/metadata/core-properties"/>
    <ds:schemaRef ds:uri="http://schemas.microsoft.com/office/2006/documentManagement/types"/>
    <ds:schemaRef ds:uri="http://schemas.microsoft.com/office/infopath/2007/PartnerControls"/>
    <ds:schemaRef ds:uri="http://purl.org/dc/terms/"/>
    <ds:schemaRef ds:uri="9943cf8f-bb16-4989-a532-cd1ba5708ab9"/>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Wet-Dry Months</vt:lpstr>
      <vt:lpstr>Final Grids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Eric White</dc:creator>
  <cp:keywords/>
  <dc:description/>
  <cp:lastModifiedBy>Eric White</cp:lastModifiedBy>
  <cp:revision/>
  <dcterms:created xsi:type="dcterms:W3CDTF">2026-01-02T19:40:00Z</dcterms:created>
  <dcterms:modified xsi:type="dcterms:W3CDTF">2026-04-09T20:05:43Z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0x0101009C3B2B7B0411584FB58A39061910A5C5</vt:lpwstr>
  </property>
  <property fmtid="{D5CDD505-2E9C-101B-9397-08002B2CF9AE}" pid="3" name="MediaServiceImageTags">
    <vt:lpwstr/>
  </property>
</Properties>
</file>